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 Data" sheetId="2" state="visible" r:id="rId4"/>
    <sheet name="Skill Gap Detail" sheetId="3" state="visible" r:id="rId5"/>
    <sheet name="Sector Summary" sheetId="4" state="visible" r:id="rId6"/>
    <sheet name="State Summary" sheetId="5" state="visible" r:id="rId7"/>
    <sheet name="Skill Gap Index" sheetId="6" state="visible" r:id="rId8"/>
    <sheet name="Top 10 Priorities" sheetId="7" state="visible" r:id="rId9"/>
    <sheet name="Skill Category Gaps" sheetId="8" state="visible" r:id="rId10"/>
    <sheet name="SQL Queri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<sst xmlns="http://schemas.openxmlformats.org/spreadsheetml/2006/main" count="1786" uniqueCount="176">
  <si>
    <t xml:space="preserve">Northeast India Youth Employment &amp; Skill Gap Analysis</t>
  </si>
  <si>
    <t xml:space="preserve">Sector-wise demand vs. workforce availability, Skill Gap Index, and intervention priorities</t>
  </si>
  <si>
    <t xml:space="preserve">SCOPE</t>
  </si>
  <si>
    <t xml:space="preserve">States covered: Assam, Meghalaya, Tripura, Manipur, Mizoram, Nagaland, Arunachal Pradesh, Sikkim</t>
  </si>
  <si>
    <t xml:space="preserve">Sectors covered: Manufacturing, Tourism, Logistics, Renewable Energy, IT/ITES, Construction</t>
  </si>
  <si>
    <t xml:space="preserve">Skill categories: Technical/Vocational, Digital &amp; IT, Soft Skills/Communication, Supervisory/Management, Safety &amp; Compliance</t>
  </si>
  <si>
    <t xml:space="preserve">METHODOLOGY</t>
  </si>
  <si>
    <t xml:space="preserve">1. DEMAND: Modeled 2026-28 sector employment demand per state, built from youth population base,</t>
  </si>
  <si>
    <t xml:space="preserve">   sector activity multipliers, and state-sector affinity factors (e.g. tourism weighted higher in</t>
  </si>
  <si>
    <t xml:space="preserve">   Meghalaya/Sikkim, renewable energy weighted higher in Arunachal Pradesh/Sikkim given hydro potential,</t>
  </si>
  <si>
    <t xml:space="preserve">   logistics weighted higher in Assam as the region's transport gateway).</t>
  </si>
  <si>
    <t xml:space="preserve">2. SUPPLY: Modeled available skilled workforce per segment, reflecting typically lower training</t>
  </si>
  <si>
    <t xml:space="preserve">   penetration in Digital &amp; IT and Renewable Energy skill categories across the region.</t>
  </si>
  <si>
    <t xml:space="preserve">3. SKILL GAP: Gap (jobs) = Demand - Supply. Gap % = Gap / Demand.</t>
  </si>
  <si>
    <t xml:space="preserve">4. SKILL GAP INDEX (SGI): a 0-1 priority score combining three normalized factors -</t>
  </si>
  <si>
    <t xml:space="preserve">        SGI = 0.45 x Gap% + 0.35 x Demand Volume + 0.20 x Implementation Feasibility</t>
  </si>
  <si>
    <t xml:space="preserve">   Weights reflect that severity of shortage (45%) matters most, followed by scale of employment</t>
  </si>
  <si>
    <t xml:space="preserve">   opportunity (35%), with feasibility of a near-term intervention (20%) as a tie-breaker.</t>
  </si>
  <si>
    <t xml:space="preserve">   Higher SGI = higher priority for skilling investment.</t>
  </si>
  <si>
    <t xml:space="preserve">5. All calculations were built and validated using SQL (SQLite) - see the SQL Queries sheet for the</t>
  </si>
  <si>
    <t xml:space="preserve">   exact cleaning, segmentation, and index scripts - then loaded into this workbook with live Excel</t>
  </si>
  <si>
    <t xml:space="preserve">   formulas for transparency and easy re-use.</t>
  </si>
  <si>
    <t xml:space="preserve">IMPORTANT NOTE ON DATA</t>
  </si>
  <si>
    <t xml:space="preserve">This is a MODELED / ILLUSTRATIVE dataset built to demonstrate the analysis methodology for a</t>
  </si>
  <si>
    <t xml:space="preserve">portfolio project. Demand, supply, wage, and feasibility figures are synthetic, calibrated to</t>
  </si>
  <si>
    <t xml:space="preserve">directionally plausible patterns (relative state size, known sector strengths, typical NE India</t>
  </si>
  <si>
    <t xml:space="preserve">wage bands). They are NOT official statistics from NSSO/PLFS, state skill missions, or DoNER/NEC.</t>
  </si>
  <si>
    <t xml:space="preserve">For a live engagement, this workbook's structure would be repointed at PLFS/state skill-mission</t>
  </si>
  <si>
    <t xml:space="preserve">and industry-association data feeds without changing the SQL logic or formulas below.</t>
  </si>
  <si>
    <t xml:space="preserve">HOW TO READ THIS WORKBOOK</t>
  </si>
  <si>
    <t xml:space="preserve">  Raw Data           - cleaned state x sector x skill-category dataset (240 rows)</t>
  </si>
  <si>
    <t xml:space="preserve">  Skill Gap Detail    - demand, supply, gap and gap% at the finest grain, with live formulas</t>
  </si>
  <si>
    <t xml:space="preserve">  Sector Summary      - rollup by sector across all 8 states, with chart</t>
  </si>
  <si>
    <t xml:space="preserve">  State Summary       - rollup by state across all 6 sectors, with chart</t>
  </si>
  <si>
    <t xml:space="preserve">  Skill Gap Index      - state x sector priority scores (the core output), with chart</t>
  </si>
  <si>
    <t xml:space="preserve">  Top 10 Priorities   - highest-SGI segments = where to intervene first</t>
  </si>
  <si>
    <t xml:space="preserve">  Skill Category Gaps - which skill types are scarcest across the whole region</t>
  </si>
  <si>
    <t xml:space="preserve">  SQL Queries         - the exact SQL used for cleaning, segmentation &amp; index calculation</t>
  </si>
  <si>
    <t xml:space="preserve">State</t>
  </si>
  <si>
    <t xml:space="preserve">Sector</t>
  </si>
  <si>
    <t xml:space="preserve">Skill Category</t>
  </si>
  <si>
    <t xml:space="preserve">Youth Pop. (lakhs)</t>
  </si>
  <si>
    <t xml:space="preserve">Demand (Jobs, 2026-28)</t>
  </si>
  <si>
    <t xml:space="preserve">Available Skilled Workforce</t>
  </si>
  <si>
    <t xml:space="preserve">Feasibility Score</t>
  </si>
  <si>
    <t xml:space="preserve">Avg Monthly Wage (INR)</t>
  </si>
  <si>
    <t xml:space="preserve">Source: modeled dataset (see README). Cleaned via SQL (workforce_clean).</t>
  </si>
  <si>
    <t xml:space="preserve">Arunachal Pradesh</t>
  </si>
  <si>
    <t xml:space="preserve">Construction</t>
  </si>
  <si>
    <t xml:space="preserve">Digital &amp; IT</t>
  </si>
  <si>
    <t xml:space="preserve">Safety &amp; Compliance</t>
  </si>
  <si>
    <t xml:space="preserve">Soft Skills/Communication</t>
  </si>
  <si>
    <t xml:space="preserve">Supervisory/Management</t>
  </si>
  <si>
    <t xml:space="preserve">Technical/Vocational</t>
  </si>
  <si>
    <t xml:space="preserve">IT/ITES</t>
  </si>
  <si>
    <t xml:space="preserve">Logistics</t>
  </si>
  <si>
    <t xml:space="preserve">Manufacturing</t>
  </si>
  <si>
    <t xml:space="preserve">Renewable Energy</t>
  </si>
  <si>
    <t xml:space="preserve">Tourism</t>
  </si>
  <si>
    <t xml:space="preserve">Assam</t>
  </si>
  <si>
    <t xml:space="preserve">Manipur</t>
  </si>
  <si>
    <t xml:space="preserve">Meghalaya</t>
  </si>
  <si>
    <t xml:space="preserve">Mizoram</t>
  </si>
  <si>
    <t xml:space="preserve">Nagaland</t>
  </si>
  <si>
    <t xml:space="preserve">Sikkim</t>
  </si>
  <si>
    <t xml:space="preserve">Tripura</t>
  </si>
  <si>
    <t xml:space="preserve">Demand (Jobs)</t>
  </si>
  <si>
    <t xml:space="preserve">Available Workforce</t>
  </si>
  <si>
    <t xml:space="preserve">Skill Gap (Jobs)</t>
  </si>
  <si>
    <t xml:space="preserve">Skill Gap %</t>
  </si>
  <si>
    <t xml:space="preserve">Total Demand</t>
  </si>
  <si>
    <t xml:space="preserve">Total Supply</t>
  </si>
  <si>
    <t xml:space="preserve">Total Gap</t>
  </si>
  <si>
    <t xml:space="preserve">Gap %</t>
  </si>
  <si>
    <t xml:space="preserve">Avg Feasibility</t>
  </si>
  <si>
    <t xml:space="preserve">Avg Wage (INR)</t>
  </si>
  <si>
    <t xml:space="preserve">Demand</t>
  </si>
  <si>
    <t xml:space="preserve">Supply</t>
  </si>
  <si>
    <t xml:space="preserve">Gap</t>
  </si>
  <si>
    <t xml:space="preserve">Feasibility</t>
  </si>
  <si>
    <t xml:space="preserve">Skill Gap Index</t>
  </si>
  <si>
    <t xml:space="preserve">SGI = 0.45×Gap% + 0.35×Demand + 0.20×Feasibility (each min-max normalized)</t>
  </si>
  <si>
    <t xml:space="preserve">Rank</t>
  </si>
  <si>
    <t xml:space="preserve">SQL Analysis Layer (SQLite)</t>
  </si>
  <si>
    <t xml:space="preserve">Cleaning → Segmentation → Gap Calculation → Skill Gap Index. Run against workforce_raw.</t>
  </si>
  <si>
    <t xml:space="preserve">-- ============================================================================</t>
  </si>
  <si>
    <t xml:space="preserve">-- Northeast India Youth Employment &amp; Skill Gap Analysis</t>
  </si>
  <si>
    <t xml:space="preserve">-- SQL analysis layer: cleaning -&gt; segmentation -&gt; gap calculation -&gt; Skill Gap Index</t>
  </si>
  <si>
    <t xml:space="preserve">-- Run against ne_employment.db (table: workforce_raw)</t>
  </si>
  <si>
    <t xml:space="preserve">-- 1. CLEAN: guard against nulls/negatives/duplicates (defensive even on clean data)</t>
  </si>
  <si>
    <t xml:space="preserve">DROP TABLE IF EXISTS workforce_clean;</t>
  </si>
  <si>
    <t xml:space="preserve">CREATE TABLE workforce_clean AS</t>
  </si>
  <si>
    <t xml:space="preserve">SELECT DISTINCT</t>
  </si>
  <si>
    <t xml:space="preserve">    TRIM(state) AS state,</t>
  </si>
  <si>
    <t xml:space="preserve">    TRIM(sector) AS sector,</t>
  </si>
  <si>
    <t xml:space="preserve">    TRIM(skill_category) AS skill_category,</t>
  </si>
  <si>
    <t xml:space="preserve">    youth_population_lakhs,</t>
  </si>
  <si>
    <t xml:space="preserve">    MAX(demand_jobs_2026_28, 0) AS demand_jobs,</t>
  </si>
  <si>
    <t xml:space="preserve">    MAX(available_skilled_workforce, 0) AS available_workforce,</t>
  </si>
  <si>
    <t xml:space="preserve">    ROUND(MIN(MAX(implementation_feasibility_score, 0), 1), 2) AS feasibility_score,</t>
  </si>
  <si>
    <t xml:space="preserve">    avg_monthly_wage_inr AS avg_monthly_wage</t>
  </si>
  <si>
    <t xml:space="preserve">FROM workforce_raw</t>
  </si>
  <si>
    <t xml:space="preserve">WHERE state IS NOT NULL AND sector IS NOT NULL AND skill_category IS NOT NULL;</t>
  </si>
  <si>
    <t xml:space="preserve">-- 2. SEGMENT + GAP: compute skill gap at state x sector x skill-category grain</t>
  </si>
  <si>
    <t xml:space="preserve">DROP TABLE IF EXISTS skill_gap_detail;</t>
  </si>
  <si>
    <t xml:space="preserve">CREATE TABLE skill_gap_detail AS</t>
  </si>
  <si>
    <t xml:space="preserve">SELECT</t>
  </si>
  <si>
    <t xml:space="preserve">    state,</t>
  </si>
  <si>
    <t xml:space="preserve">    sector,</t>
  </si>
  <si>
    <t xml:space="preserve">    skill_category,</t>
  </si>
  <si>
    <t xml:space="preserve">    demand_jobs,</t>
  </si>
  <si>
    <t xml:space="preserve">    available_workforce,</t>
  </si>
  <si>
    <t xml:space="preserve">    (demand_jobs - available_workforce) AS skill_gap_jobs,</t>
  </si>
  <si>
    <t xml:space="preserve">    ROUND(100.0 * (demand_jobs - available_workforce) / NULLIF(demand_jobs, 0), 1) AS skill_gap_pct,</t>
  </si>
  <si>
    <t xml:space="preserve">    feasibility_score,</t>
  </si>
  <si>
    <t xml:space="preserve">    avg_monthly_wage</t>
  </si>
  <si>
    <t xml:space="preserve">FROM workforce_clean;</t>
  </si>
  <si>
    <t xml:space="preserve">-- 3. SECTOR-LEVEL ROLLUP (across all states)</t>
  </si>
  <si>
    <t xml:space="preserve">DROP TABLE IF EXISTS sector_summary;</t>
  </si>
  <si>
    <t xml:space="preserve">CREATE TABLE sector_summary AS</t>
  </si>
  <si>
    <t xml:space="preserve">    SUM(demand_jobs) AS total_demand,</t>
  </si>
  <si>
    <t xml:space="preserve">    SUM(available_workforce) AS total_supply,</t>
  </si>
  <si>
    <t xml:space="preserve">    SUM(demand_jobs - available_workforce) AS total_gap,</t>
  </si>
  <si>
    <t xml:space="preserve">    ROUND(100.0 * SUM(demand_jobs - available_workforce) / NULLIF(SUM(demand_jobs), 0), 1) AS gap_pct,</t>
  </si>
  <si>
    <t xml:space="preserve">    ROUND(AVG(feasibility_score), 2) AS avg_feasibility,</t>
  </si>
  <si>
    <t xml:space="preserve">    ROUND(AVG(avg_monthly_wage), 0) AS avg_wage</t>
  </si>
  <si>
    <t xml:space="preserve">FROM skill_gap_detail</t>
  </si>
  <si>
    <t xml:space="preserve">GROUP BY sector</t>
  </si>
  <si>
    <t xml:space="preserve">ORDER BY total_gap DESC;</t>
  </si>
  <si>
    <t xml:space="preserve">-- 4. STATE-LEVEL ROLLUP (across all sectors)</t>
  </si>
  <si>
    <t xml:space="preserve">DROP TABLE IF EXISTS state_summary;</t>
  </si>
  <si>
    <t xml:space="preserve">CREATE TABLE state_summary AS</t>
  </si>
  <si>
    <t xml:space="preserve">    ROUND(100.0 * SUM(demand_jobs - available_workforce) / NULLIF(SUM(demand_jobs), 0), 1) AS gap_pct</t>
  </si>
  <si>
    <t xml:space="preserve">GROUP BY state</t>
  </si>
  <si>
    <t xml:space="preserve">-- 5. STATE x SECTOR ROLLUP (for the priority matrix)</t>
  </si>
  <si>
    <t xml:space="preserve">DROP TABLE IF EXISTS state_sector_summary;</t>
  </si>
  <si>
    <t xml:space="preserve">CREATE TABLE state_sector_summary AS</t>
  </si>
  <si>
    <t xml:space="preserve">    ROUND(AVG(feasibility_score), 2) AS avg_feasibility</t>
  </si>
  <si>
    <t xml:space="preserve">GROUP BY state, sector;</t>
  </si>
  <si>
    <t xml:space="preserve">-- 6. SKILL GAP INDEX (SGI)</t>
  </si>
  <si>
    <t xml:space="preserve">-- SGI = 0.45*normalized_gap_pct + 0.35*normalized_demand_volume + 0.20*normalized_feasibility</t>
  </si>
  <si>
    <t xml:space="preserve">-- Higher SGI = higher priority for intervention (large gap, large opportunity, feasible to act on)</t>
  </si>
  <si>
    <t xml:space="preserve">DROP TABLE IF EXISTS skill_gap_index;</t>
  </si>
  <si>
    <t xml:space="preserve">CREATE TABLE skill_gap_index AS</t>
  </si>
  <si>
    <t xml:space="preserve">WITH bounds AS (</t>
  </si>
  <si>
    <t xml:space="preserve">    SELECT</t>
  </si>
  <si>
    <t xml:space="preserve">        MIN(gap_pct) AS min_gap, MAX(gap_pct) AS max_gap,</t>
  </si>
  <si>
    <t xml:space="preserve">        MIN(total_demand) AS min_dem, MAX(total_demand) AS max_dem,</t>
  </si>
  <si>
    <t xml:space="preserve">        MIN(avg_feasibility) AS min_feas, MAX(avg_feasibility) AS max_feas</t>
  </si>
  <si>
    <t xml:space="preserve">    FROM state_sector_summary</t>
  </si>
  <si>
    <t xml:space="preserve">)</t>
  </si>
  <si>
    <t xml:space="preserve">    s.state,</t>
  </si>
  <si>
    <t xml:space="preserve">    s.sector,</t>
  </si>
  <si>
    <t xml:space="preserve">    s.total_demand,</t>
  </si>
  <si>
    <t xml:space="preserve">    s.total_supply,</t>
  </si>
  <si>
    <t xml:space="preserve">    s.total_gap,</t>
  </si>
  <si>
    <t xml:space="preserve">    s.gap_pct,</t>
  </si>
  <si>
    <t xml:space="preserve">    s.avg_feasibility,</t>
  </si>
  <si>
    <t xml:space="preserve">    ROUND(</t>
  </si>
  <si>
    <t xml:space="preserve">        0.45 * (1.0 * (s.gap_pct - b.min_gap) / NULLIF(b.max_gap - b.min_gap, 0)) +</t>
  </si>
  <si>
    <t xml:space="preserve">        0.35 * (1.0 * (s.total_demand - b.min_dem) / NULLIF(b.max_dem - b.min_dem, 0)) +</t>
  </si>
  <si>
    <t xml:space="preserve">        0.20 * (1.0 * (s.avg_feasibility - b.min_feas) / NULLIF(b.max_feas - b.min_feas, 0))</t>
  </si>
  <si>
    <t xml:space="preserve">    , 3) AS skill_gap_index</t>
  </si>
  <si>
    <t xml:space="preserve">FROM state_sector_summary s CROSS JOIN bounds b</t>
  </si>
  <si>
    <t xml:space="preserve">ORDER BY skill_gap_index DESC;</t>
  </si>
  <si>
    <t xml:space="preserve">-- 7. TOP PRIORITY SEGMENTS (Top 10 by SGI) -- headline output for intervention targeting</t>
  </si>
  <si>
    <t xml:space="preserve">DROP TABLE IF EXISTS top_priority_segments;</t>
  </si>
  <si>
    <t xml:space="preserve">CREATE TABLE top_priority_segments AS</t>
  </si>
  <si>
    <t xml:space="preserve">SELECT state, sector, total_demand, total_supply, total_gap, gap_pct, avg_feasibility, skill_gap_index</t>
  </si>
  <si>
    <t xml:space="preserve">FROM skill_gap_index</t>
  </si>
  <si>
    <t xml:space="preserve">ORDER BY skill_gap_index DESC</t>
  </si>
  <si>
    <t xml:space="preserve">LIMIT 10;</t>
  </si>
  <si>
    <t xml:space="preserve">-- 8. SKILL-CATEGORY LEVEL GAPS (which specific skills are scarcest, across NE region)</t>
  </si>
  <si>
    <t xml:space="preserve">DROP TABLE IF EXISTS skill_category_summary;</t>
  </si>
  <si>
    <t xml:space="preserve">CREATE TABLE skill_category_summary AS</t>
  </si>
  <si>
    <t xml:space="preserve">GROUP BY skill_category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</si>
</sst>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#,##0"/>
    <numFmt numFmtId="167" formatCode="0.00"/>
    <numFmt numFmtId="168" formatCode="\₹#,##0"/>
    <numFmt numFmtId="169" formatCode="0.0%"/>
    <numFmt numFmtId="170" formatCode="0.0\%"/>
    <numFmt numFmtId="171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E7D6E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2E7D6E"/>
      <name val="Consolas"/>
      <family val="0"/>
      <charset val="1"/>
    </font>
    <font>
      <sz val="9"/>
      <color rgb="FF222222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222222"/>
      </patternFill>
    </fill>
    <fill>
      <patternFill patternType="solid">
        <fgColor rgb="FFF2F2F2"/>
        <bgColor rgb="FFF9F9F9"/>
      </patternFill>
    </fill>
    <fill>
      <patternFill patternType="solid">
        <fgColor rgb="FF2E7D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777777"/>
      <rgbColor rgb="FF999999"/>
      <rgbColor rgb="FF1F3864"/>
      <rgbColor rgb="FF2E7D6E"/>
      <rgbColor rgb="FF003300"/>
      <rgbColor rgb="FF333300"/>
      <rgbColor rgb="FF993300"/>
      <rgbColor rgb="FF993366"/>
      <rgbColor rgb="FF55555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Sector-wise Demand vs. Available Workforce (Northeast India)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'Sector Summary'!B1</c:f>
              <c:strCache>
                <c:ptCount val="1"/>
                <c:pt idx="0">
                  <c:v>Total Demand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'Sector Summary'!$A$2:$A$7</c:f>
              <c:strCache>
                <c:ptCount val="6"/>
                <c:pt idx="0">
                  <c:v>Construction</c:v>
                </c:pt>
                <c:pt idx="1">
                  <c:v>Logistics</c:v>
                </c:pt>
                <c:pt idx="2">
                  <c:v>Manufacturing</c:v>
                </c:pt>
                <c:pt idx="3">
                  <c:v>Tourism</c:v>
                </c:pt>
                <c:pt idx="4">
                  <c:v>IT/ITES</c:v>
                </c:pt>
                <c:pt idx="5">
                  <c:v>Renewable Energy</c:v>
                </c:pt>
              </c:strCache>
            </c:strRef>
          </c:cat>
          <c:val>
            <c:numRef>
              <c:f>'Sector Summary'!$B$2:$B$7</c:f>
              <c:numCache>
                <c:formatCode>#,##0</c:formatCode>
                <c:ptCount val="6"/>
                <c:pt idx="0">
                  <c:v>23747</c:v>
                </c:pt>
                <c:pt idx="1">
                  <c:v>19541</c:v>
                </c:pt>
                <c:pt idx="2">
                  <c:v>24183</c:v>
                </c:pt>
                <c:pt idx="3">
                  <c:v>23506</c:v>
                </c:pt>
                <c:pt idx="4">
                  <c:v>14544</c:v>
                </c:pt>
                <c:pt idx="5">
                  <c:v>9522</c:v>
                </c:pt>
              </c:numCache>
            </c:numRef>
          </c:val>
        </c:ser>
        <c:ser>
          <c:idx val="1"/>
          <c:order val="1"/>
          <c:tx>
            <c:strRef>
              <c:f>'Sector Summary'!C1</c:f>
              <c:strCache>
                <c:ptCount val="1"/>
                <c:pt idx="0">
                  <c:v>Total Supply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'Sector Summary'!$A$2:$A$7</c:f>
              <c:strCache>
                <c:ptCount val="6"/>
                <c:pt idx="0">
                  <c:v>Construction</c:v>
                </c:pt>
                <c:pt idx="1">
                  <c:v>Logistics</c:v>
                </c:pt>
                <c:pt idx="2">
                  <c:v>Manufacturing</c:v>
                </c:pt>
                <c:pt idx="3">
                  <c:v>Tourism</c:v>
                </c:pt>
                <c:pt idx="4">
                  <c:v>IT/ITES</c:v>
                </c:pt>
                <c:pt idx="5">
                  <c:v>Renewable Energy</c:v>
                </c:pt>
              </c:strCache>
            </c:strRef>
          </c:cat>
          <c:val>
            <c:numRef>
              <c:f>'Sector Summary'!$C$2:$C$7</c:f>
              <c:numCache>
                <c:formatCode>#,##0</c:formatCode>
                <c:ptCount val="6"/>
                <c:pt idx="0">
                  <c:v>11606</c:v>
                </c:pt>
                <c:pt idx="1">
                  <c:v>7439</c:v>
                </c:pt>
                <c:pt idx="2">
                  <c:v>12401</c:v>
                </c:pt>
                <c:pt idx="3">
                  <c:v>12064</c:v>
                </c:pt>
                <c:pt idx="4">
                  <c:v>3552</c:v>
                </c:pt>
                <c:pt idx="5">
                  <c:v>1289</c:v>
                </c:pt>
              </c:numCache>
            </c:numRef>
          </c:val>
        </c:ser>
        <c:gapWidth val="150"/>
        <c:overlap val="0"/>
        <c:axId val="45727406"/>
        <c:axId val="39407605"/>
      </c:barChart>
      <c:catAx>
        <c:axId val="457274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07605"/>
        <c:crosses val="autoZero"/>
        <c:auto val="1"/>
        <c:lblAlgn val="ctr"/>
        <c:lblOffset val="100"/>
        <c:noMultiLvlLbl val="0"/>
      </c:catAx>
      <c:valAx>
        <c:axId val="39407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Jobs (2026-28)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274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Sector-wise Skill Gap (Jobs)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'Sector Summary'!D1</c:f>
              <c:strCache>
                <c:ptCount val="1"/>
                <c:pt idx="0">
                  <c:v>Total Gap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'Sector Summary'!$A$2:$A$7</c:f>
              <c:strCache>
                <c:ptCount val="6"/>
                <c:pt idx="0">
                  <c:v>Construction</c:v>
                </c:pt>
                <c:pt idx="1">
                  <c:v>Logistics</c:v>
                </c:pt>
                <c:pt idx="2">
                  <c:v>Manufacturing</c:v>
                </c:pt>
                <c:pt idx="3">
                  <c:v>Tourism</c:v>
                </c:pt>
                <c:pt idx="4">
                  <c:v>IT/ITES</c:v>
                </c:pt>
                <c:pt idx="5">
                  <c:v>Renewable Energy</c:v>
                </c:pt>
              </c:strCache>
            </c:strRef>
          </c:cat>
          <c:val>
            <c:numRef>
              <c:f>'Sector Summary'!$D$2:$D$7</c:f>
              <c:numCache>
                <c:formatCode>#,##0</c:formatCode>
                <c:ptCount val="6"/>
                <c:pt idx="0">
                  <c:v>12141</c:v>
                </c:pt>
                <c:pt idx="1">
                  <c:v>12102</c:v>
                </c:pt>
                <c:pt idx="2">
                  <c:v>11782</c:v>
                </c:pt>
                <c:pt idx="3">
                  <c:v>11442</c:v>
                </c:pt>
                <c:pt idx="4">
                  <c:v>10992</c:v>
                </c:pt>
                <c:pt idx="5">
                  <c:v>8233</c:v>
                </c:pt>
              </c:numCache>
            </c:numRef>
          </c:val>
        </c:ser>
        <c:gapWidth val="150"/>
        <c:overlap val="0"/>
        <c:axId val="10563163"/>
        <c:axId val="12829488"/>
      </c:barChart>
      <c:catAx>
        <c:axId val="105631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29488"/>
        <c:crosses val="autoZero"/>
        <c:auto val="1"/>
        <c:lblAlgn val="ctr"/>
        <c:lblOffset val="100"/>
        <c:noMultiLvlLbl val="0"/>
      </c:catAx>
      <c:valAx>
        <c:axId val="128294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Gap (Jobs)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631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State-wise Skill Gap (Jobs), Northeast India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'State Summary'!D1</c:f>
              <c:strCache>
                <c:ptCount val="1"/>
                <c:pt idx="0">
                  <c:v>Total Gap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'State Summary'!$A$2:$A$9</c:f>
              <c:strCache>
                <c:ptCount val="8"/>
                <c:pt idx="0">
                  <c:v>Assam</c:v>
                </c:pt>
                <c:pt idx="1">
                  <c:v>Tripura</c:v>
                </c:pt>
                <c:pt idx="2">
                  <c:v>Meghalaya</c:v>
                </c:pt>
                <c:pt idx="3">
                  <c:v>Manipur</c:v>
                </c:pt>
                <c:pt idx="4">
                  <c:v>Nagaland</c:v>
                </c:pt>
                <c:pt idx="5">
                  <c:v>Arunachal Pradesh</c:v>
                </c:pt>
                <c:pt idx="6">
                  <c:v>Mizoram</c:v>
                </c:pt>
                <c:pt idx="7">
                  <c:v>Sikkim</c:v>
                </c:pt>
              </c:strCache>
            </c:strRef>
          </c:cat>
          <c:val>
            <c:numRef>
              <c:f>'State Summary'!$D$2:$D$9</c:f>
              <c:numCache>
                <c:formatCode>#,##0</c:formatCode>
                <c:ptCount val="8"/>
                <c:pt idx="0">
                  <c:v>54559</c:v>
                </c:pt>
                <c:pt idx="1">
                  <c:v>3332</c:v>
                </c:pt>
                <c:pt idx="2">
                  <c:v>3117</c:v>
                </c:pt>
                <c:pt idx="3">
                  <c:v>2528</c:v>
                </c:pt>
                <c:pt idx="4">
                  <c:v>1304</c:v>
                </c:pt>
                <c:pt idx="5">
                  <c:v>851</c:v>
                </c:pt>
                <c:pt idx="6">
                  <c:v>573</c:v>
                </c:pt>
                <c:pt idx="7">
                  <c:v>428</c:v>
                </c:pt>
              </c:numCache>
            </c:numRef>
          </c:val>
        </c:ser>
        <c:gapWidth val="150"/>
        <c:overlap val="0"/>
        <c:axId val="26381435"/>
        <c:axId val="67118941"/>
      </c:barChart>
      <c:catAx>
        <c:axId val="2638143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Gap (Jobs)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18941"/>
        <c:crosses val="autoZero"/>
        <c:auto val="1"/>
        <c:lblAlgn val="ctr"/>
        <c:lblOffset val="100"/>
        <c:noMultiLvlLbl val="0"/>
      </c:catAx>
      <c:valAx>
        <c:axId val="671189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814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Priority Segments by Skill Gap Index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10 Priorities'!I1</c:f>
              <c:strCache>
                <c:ptCount val="1"/>
                <c:pt idx="0">
                  <c:v>Skill Gap Index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'Top 10 Priorities'!$B$2:$C$11</c:f>
              <c:multiLvlStrCache>
                <c:ptCount val="10"/>
                <c:lvl>
                  <c:pt idx="0">
                    <c:v>Renewable Energy</c:v>
                  </c:pt>
                  <c:pt idx="1">
                    <c:v>Logistics</c:v>
                  </c:pt>
                  <c:pt idx="2">
                    <c:v>Construction</c:v>
                  </c:pt>
                  <c:pt idx="3">
                    <c:v>IT/ITES</c:v>
                  </c:pt>
                  <c:pt idx="4">
                    <c:v>Tourism</c:v>
                  </c:pt>
                  <c:pt idx="5">
                    <c:v>Manufacturing</c:v>
                  </c:pt>
                  <c:pt idx="6">
                    <c:v>Renewable Energy</c:v>
                  </c:pt>
                  <c:pt idx="7">
                    <c:v>Renewable Energy</c:v>
                  </c:pt>
                  <c:pt idx="8">
                    <c:v>Renewable Energy</c:v>
                  </c:pt>
                  <c:pt idx="9">
                    <c:v>Renewable Energy</c:v>
                  </c:pt>
                </c:lvl>
                <c:lvl>
                  <c:pt idx="0">
                    <c:v>Assam</c:v>
                  </c:pt>
                  <c:pt idx="1">
                    <c:v>Assam</c:v>
                  </c:pt>
                  <c:pt idx="2">
                    <c:v>Assam</c:v>
                  </c:pt>
                  <c:pt idx="3">
                    <c:v>Assam</c:v>
                  </c:pt>
                  <c:pt idx="4">
                    <c:v>Assam</c:v>
                  </c:pt>
                  <c:pt idx="5">
                    <c:v>Assam</c:v>
                  </c:pt>
                  <c:pt idx="6">
                    <c:v>Tripura</c:v>
                  </c:pt>
                  <c:pt idx="7">
                    <c:v>Nagaland</c:v>
                  </c:pt>
                  <c:pt idx="8">
                    <c:v>Meghalaya</c:v>
                  </c:pt>
                  <c:pt idx="9">
                    <c:v>Sikkim</c:v>
                  </c:pt>
                </c:lvl>
              </c:multiLvlStrCache>
            </c:multiLvlStrRef>
          </c:cat>
          <c:val>
            <c:numRef>
              <c:f>'Top 10 Priorities'!$I$2:$I$11</c:f>
              <c:numCache>
                <c:formatCode>0.000</c:formatCode>
                <c:ptCount val="10"/>
                <c:pt idx="0">
                  <c:v>0.625</c:v>
                </c:pt>
                <c:pt idx="1">
                  <c:v>0.622</c:v>
                </c:pt>
                <c:pt idx="2">
                  <c:v>0.609</c:v>
                </c:pt>
                <c:pt idx="3">
                  <c:v>0.584</c:v>
                </c:pt>
                <c:pt idx="4">
                  <c:v>0.55</c:v>
                </c:pt>
                <c:pt idx="5">
                  <c:v>0.544</c:v>
                </c:pt>
                <c:pt idx="6">
                  <c:v>0.51</c:v>
                </c:pt>
                <c:pt idx="7">
                  <c:v>0.448</c:v>
                </c:pt>
                <c:pt idx="8">
                  <c:v>0.441</c:v>
                </c:pt>
                <c:pt idx="9">
                  <c:v>0.44</c:v>
                </c:pt>
              </c:numCache>
            </c:numRef>
          </c:val>
        </c:ser>
        <c:gapWidth val="150"/>
        <c:overlap val="0"/>
        <c:axId val="20241226"/>
        <c:axId val="71542812"/>
      </c:barChart>
      <c:catAx>
        <c:axId val="2024122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Skill Gap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42812"/>
        <c:crosses val="autoZero"/>
        <c:auto val="1"/>
        <c:lblAlgn val="ctr"/>
        <c:lblOffset val="100"/>
        <c:noMultiLvlLbl val="0"/>
      </c:catAx>
      <c:valAx>
        <c:axId val="71542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412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Region-wide Skill Gap by Skill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'Skill Category Gaps'!D1</c:f>
              <c:strCache>
                <c:ptCount val="1"/>
                <c:pt idx="0">
                  <c:v>Total Gap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'Skill Category Gaps'!$A$2:$A$6</c:f>
              <c:strCache>
                <c:ptCount val="5"/>
                <c:pt idx="0">
                  <c:v>Technical/Vocational</c:v>
                </c:pt>
                <c:pt idx="1">
                  <c:v>Digital &amp; IT</c:v>
                </c:pt>
                <c:pt idx="2">
                  <c:v>Soft Skills/Communication</c:v>
                </c:pt>
                <c:pt idx="3">
                  <c:v>Safety &amp; Compliance</c:v>
                </c:pt>
                <c:pt idx="4">
                  <c:v>Supervisory/Management</c:v>
                </c:pt>
              </c:strCache>
            </c:strRef>
          </c:cat>
          <c:val>
            <c:numRef>
              <c:f>'Skill Category Gaps'!$D$2:$D$6</c:f>
              <c:numCache>
                <c:formatCode>#,##0</c:formatCode>
                <c:ptCount val="5"/>
                <c:pt idx="0">
                  <c:v>20500</c:v>
                </c:pt>
                <c:pt idx="1">
                  <c:v>14370</c:v>
                </c:pt>
                <c:pt idx="2">
                  <c:v>12085</c:v>
                </c:pt>
                <c:pt idx="3">
                  <c:v>10399</c:v>
                </c:pt>
                <c:pt idx="4">
                  <c:v>9338</c:v>
                </c:pt>
              </c:numCache>
            </c:numRef>
          </c:val>
        </c:ser>
        <c:gapWidth val="150"/>
        <c:overlap val="0"/>
        <c:axId val="15312069"/>
        <c:axId val="84908429"/>
      </c:barChart>
      <c:catAx>
        <c:axId val="153120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08429"/>
        <c:crosses val="autoZero"/>
        <c:auto val="1"/>
        <c:lblAlgn val="ctr"/>
        <c:lblOffset val="100"/>
        <c:noMultiLvlLbl val="0"/>
      </c:catAx>
      <c:valAx>
        <c:axId val="849084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Gap (Jobs)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120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8</xdr:col>
      <xdr:colOff>259560</xdr:colOff>
      <xdr:row>30</xdr:row>
      <xdr:rowOff>149760</xdr:rowOff>
    </xdr:to>
    <xdr:graphicFrame>
      <xdr:nvGraphicFramePr>
        <xdr:cNvPr id="0" name="Chart 1"/>
        <xdr:cNvGraphicFramePr/>
      </xdr:nvGraphicFramePr>
      <xdr:xfrm>
        <a:off x="0" y="190512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8</xdr:col>
      <xdr:colOff>259560</xdr:colOff>
      <xdr:row>47</xdr:row>
      <xdr:rowOff>149760</xdr:rowOff>
    </xdr:to>
    <xdr:graphicFrame>
      <xdr:nvGraphicFramePr>
        <xdr:cNvPr id="1" name="Chart 2"/>
        <xdr:cNvGraphicFramePr/>
      </xdr:nvGraphicFramePr>
      <xdr:xfrm>
        <a:off x="0" y="51436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10</xdr:col>
      <xdr:colOff>69120</xdr:colOff>
      <xdr:row>32</xdr:row>
      <xdr:rowOff>128880</xdr:rowOff>
    </xdr:to>
    <xdr:graphicFrame>
      <xdr:nvGraphicFramePr>
        <xdr:cNvPr id="2" name="Chart 1"/>
        <xdr:cNvGraphicFramePr/>
      </xdr:nvGraphicFramePr>
      <xdr:xfrm>
        <a:off x="0" y="19051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9</xdr:col>
      <xdr:colOff>236880</xdr:colOff>
      <xdr:row>37</xdr:row>
      <xdr:rowOff>107640</xdr:rowOff>
    </xdr:to>
    <xdr:graphicFrame>
      <xdr:nvGraphicFramePr>
        <xdr:cNvPr id="3" name="Chart 1"/>
        <xdr:cNvGraphicFramePr/>
      </xdr:nvGraphicFramePr>
      <xdr:xfrm>
        <a:off x="0" y="247644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9</xdr:col>
      <xdr:colOff>116640</xdr:colOff>
      <xdr:row>30</xdr:row>
      <xdr:rowOff>128520</xdr:rowOff>
    </xdr:to>
    <xdr:graphicFrame>
      <xdr:nvGraphicFramePr>
        <xdr:cNvPr id="4" name="Chart 1"/>
        <xdr:cNvGraphicFramePr/>
      </xdr:nvGraphicFramePr>
      <xdr:xfrm>
        <a:off x="0" y="1523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6</v>
      </c>
    </row>
    <row r="12" customFormat="false" ht="15" hidden="false" customHeight="false" outlineLevel="0" collapsed="false">
      <c r="B12" s="5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5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5" t="s">
        <v>13</v>
      </c>
    </row>
    <row r="19" customFormat="false" ht="15" hidden="false" customHeight="false" outlineLevel="0" collapsed="false">
      <c r="B19" s="5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3" t="s">
        <v>18</v>
      </c>
    </row>
    <row r="24" customFormat="false" ht="15" hidden="false" customHeight="false" outlineLevel="0" collapsed="false">
      <c r="B24" s="5" t="s">
        <v>19</v>
      </c>
    </row>
    <row r="25" customFormat="false" ht="15" hidden="false" customHeight="false" outlineLevel="0" collapsed="false">
      <c r="B25" s="3" t="s">
        <v>20</v>
      </c>
    </row>
    <row r="26" customFormat="false" ht="15" hidden="false" customHeight="false" outlineLevel="0" collapsed="false">
      <c r="B26" s="3" t="s">
        <v>21</v>
      </c>
    </row>
    <row r="27" customFormat="false" ht="15" hidden="false" customHeight="false" outlineLevel="0" collapsed="false">
      <c r="B27" s="3"/>
    </row>
    <row r="28" customFormat="false" ht="15" hidden="false" customHeight="false" outlineLevel="0" collapsed="false">
      <c r="B28" s="4" t="s">
        <v>22</v>
      </c>
    </row>
    <row r="29" customFormat="false" ht="15" hidden="false" customHeight="false" outlineLevel="0" collapsed="false">
      <c r="B29" s="3" t="s">
        <v>23</v>
      </c>
    </row>
    <row r="30" customFormat="false" ht="15" hidden="false" customHeight="false" outlineLevel="0" collapsed="false">
      <c r="B30" s="3" t="s">
        <v>24</v>
      </c>
    </row>
    <row r="31" customFormat="false" ht="15" hidden="false" customHeight="false" outlineLevel="0" collapsed="false">
      <c r="B31" s="3" t="s">
        <v>25</v>
      </c>
    </row>
    <row r="32" customFormat="false" ht="15" hidden="false" customHeight="false" outlineLevel="0" collapsed="false">
      <c r="B32" s="3" t="s">
        <v>26</v>
      </c>
    </row>
    <row r="33" customFormat="false" ht="15" hidden="false" customHeight="false" outlineLevel="0" collapsed="false">
      <c r="B33" s="3" t="s">
        <v>27</v>
      </c>
    </row>
    <row r="34" customFormat="false" ht="15" hidden="false" customHeight="false" outlineLevel="0" collapsed="false">
      <c r="B34" s="3" t="s">
        <v>28</v>
      </c>
    </row>
    <row r="35" customFormat="false" ht="15" hidden="false" customHeight="false" outlineLevel="0" collapsed="false">
      <c r="B35" s="3"/>
    </row>
    <row r="36" customFormat="false" ht="15" hidden="false" customHeight="false" outlineLevel="0" collapsed="false">
      <c r="B36" s="4" t="s">
        <v>29</v>
      </c>
    </row>
    <row r="37" customFormat="false" ht="15" hidden="false" customHeight="false" outlineLevel="0" collapsed="false">
      <c r="B37" s="3" t="s">
        <v>30</v>
      </c>
    </row>
    <row r="38" customFormat="false" ht="15" hidden="false" customHeight="false" outlineLevel="0" collapsed="false">
      <c r="B38" s="3" t="s">
        <v>31</v>
      </c>
    </row>
    <row r="39" customFormat="false" ht="15" hidden="false" customHeight="false" outlineLevel="0" collapsed="false">
      <c r="B39" s="3" t="s">
        <v>32</v>
      </c>
    </row>
    <row r="40" customFormat="false" ht="15" hidden="false" customHeight="false" outlineLevel="0" collapsed="false">
      <c r="B40" s="3" t="s">
        <v>33</v>
      </c>
    </row>
    <row r="41" customFormat="false" ht="15" hidden="false" customHeight="false" outlineLevel="0" collapsed="false">
      <c r="B41" s="3" t="s">
        <v>34</v>
      </c>
    </row>
    <row r="42" customFormat="false" ht="15" hidden="false" customHeight="false" outlineLevel="0" collapsed="false">
      <c r="B42" s="3" t="s">
        <v>35</v>
      </c>
    </row>
    <row r="43" customFormat="false" ht="15" hidden="false" customHeight="false" outlineLevel="0" collapsed="false">
      <c r="B43" s="3" t="s">
        <v>36</v>
      </c>
    </row>
    <row r="44" customFormat="false" ht="15" hidden="false" customHeight="false" outlineLevel="0" collapsed="false">
      <c r="B44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9"/>
    <col collapsed="false" customWidth="true" hidden="false" outlineLevel="0" max="7" min="7" style="0" width="19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6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6" t="s">
        <v>45</v>
      </c>
      <c r="J1" s="7" t="s">
        <v>46</v>
      </c>
    </row>
    <row r="2" customFormat="false" ht="15" hidden="false" customHeight="false" outlineLevel="0" collapsed="false">
      <c r="A2" s="8" t="s">
        <v>47</v>
      </c>
      <c r="B2" s="8" t="s">
        <v>48</v>
      </c>
      <c r="C2" s="9" t="s">
        <v>49</v>
      </c>
      <c r="D2" s="10" t="n">
        <v>1.6</v>
      </c>
      <c r="E2" s="11" t="n">
        <v>31</v>
      </c>
      <c r="F2" s="11" t="n">
        <v>11</v>
      </c>
      <c r="G2" s="12" t="n">
        <v>0.63</v>
      </c>
      <c r="H2" s="13" t="n">
        <v>17399</v>
      </c>
    </row>
    <row r="3" customFormat="false" ht="15" hidden="false" customHeight="false" outlineLevel="0" collapsed="false">
      <c r="A3" s="14" t="s">
        <v>47</v>
      </c>
      <c r="B3" s="14" t="s">
        <v>48</v>
      </c>
      <c r="C3" s="15" t="s">
        <v>50</v>
      </c>
      <c r="D3" s="16" t="n">
        <v>1.6</v>
      </c>
      <c r="E3" s="17" t="n">
        <v>47</v>
      </c>
      <c r="F3" s="17" t="n">
        <v>18</v>
      </c>
      <c r="G3" s="18" t="n">
        <v>0.73</v>
      </c>
      <c r="H3" s="19" t="n">
        <v>11913</v>
      </c>
    </row>
    <row r="4" customFormat="false" ht="15" hidden="false" customHeight="false" outlineLevel="0" collapsed="false">
      <c r="A4" s="8" t="s">
        <v>47</v>
      </c>
      <c r="B4" s="8" t="s">
        <v>48</v>
      </c>
      <c r="C4" s="9" t="s">
        <v>51</v>
      </c>
      <c r="D4" s="10" t="n">
        <v>1.6</v>
      </c>
      <c r="E4" s="11" t="n">
        <v>42</v>
      </c>
      <c r="F4" s="11" t="n">
        <v>26</v>
      </c>
      <c r="G4" s="12" t="n">
        <v>0.82</v>
      </c>
      <c r="H4" s="13" t="n">
        <v>10565</v>
      </c>
    </row>
    <row r="5" customFormat="false" ht="15" hidden="false" customHeight="false" outlineLevel="0" collapsed="false">
      <c r="A5" s="14" t="s">
        <v>47</v>
      </c>
      <c r="B5" s="14" t="s">
        <v>48</v>
      </c>
      <c r="C5" s="15" t="s">
        <v>52</v>
      </c>
      <c r="D5" s="16" t="n">
        <v>1.6</v>
      </c>
      <c r="E5" s="17" t="n">
        <v>48</v>
      </c>
      <c r="F5" s="17" t="n">
        <v>30</v>
      </c>
      <c r="G5" s="18" t="n">
        <v>0.8</v>
      </c>
      <c r="H5" s="19" t="n">
        <v>17026</v>
      </c>
    </row>
    <row r="6" customFormat="false" ht="15" hidden="false" customHeight="false" outlineLevel="0" collapsed="false">
      <c r="A6" s="8" t="s">
        <v>47</v>
      </c>
      <c r="B6" s="8" t="s">
        <v>48</v>
      </c>
      <c r="C6" s="9" t="s">
        <v>53</v>
      </c>
      <c r="D6" s="10" t="n">
        <v>1.6</v>
      </c>
      <c r="E6" s="11" t="n">
        <v>142</v>
      </c>
      <c r="F6" s="11" t="n">
        <v>65</v>
      </c>
      <c r="G6" s="12" t="n">
        <v>0.81</v>
      </c>
      <c r="H6" s="13" t="n">
        <v>12563</v>
      </c>
    </row>
    <row r="7" customFormat="false" ht="15" hidden="false" customHeight="false" outlineLevel="0" collapsed="false">
      <c r="A7" s="14" t="s">
        <v>47</v>
      </c>
      <c r="B7" s="14" t="s">
        <v>54</v>
      </c>
      <c r="C7" s="15" t="s">
        <v>49</v>
      </c>
      <c r="D7" s="16" t="n">
        <v>1.6</v>
      </c>
      <c r="E7" s="17" t="n">
        <v>72</v>
      </c>
      <c r="F7" s="17" t="n">
        <v>17</v>
      </c>
      <c r="G7" s="18" t="n">
        <v>0.58</v>
      </c>
      <c r="H7" s="19" t="n">
        <v>29013</v>
      </c>
    </row>
    <row r="8" customFormat="false" ht="15" hidden="false" customHeight="false" outlineLevel="0" collapsed="false">
      <c r="A8" s="8" t="s">
        <v>47</v>
      </c>
      <c r="B8" s="8" t="s">
        <v>54</v>
      </c>
      <c r="C8" s="9" t="s">
        <v>50</v>
      </c>
      <c r="D8" s="10" t="n">
        <v>1.6</v>
      </c>
      <c r="E8" s="11" t="n">
        <v>15</v>
      </c>
      <c r="F8" s="11" t="n">
        <v>4</v>
      </c>
      <c r="G8" s="12" t="n">
        <v>0.59</v>
      </c>
      <c r="H8" s="13" t="n">
        <v>21103</v>
      </c>
    </row>
    <row r="9" customFormat="false" ht="15" hidden="false" customHeight="false" outlineLevel="0" collapsed="false">
      <c r="A9" s="14" t="s">
        <v>47</v>
      </c>
      <c r="B9" s="14" t="s">
        <v>54</v>
      </c>
      <c r="C9" s="15" t="s">
        <v>51</v>
      </c>
      <c r="D9" s="16" t="n">
        <v>1.6</v>
      </c>
      <c r="E9" s="17" t="n">
        <v>22</v>
      </c>
      <c r="F9" s="17" t="n">
        <v>6</v>
      </c>
      <c r="G9" s="18" t="n">
        <v>0.49</v>
      </c>
      <c r="H9" s="19" t="n">
        <v>18513</v>
      </c>
    </row>
    <row r="10" customFormat="false" ht="15" hidden="false" customHeight="false" outlineLevel="0" collapsed="false">
      <c r="A10" s="8" t="s">
        <v>47</v>
      </c>
      <c r="B10" s="8" t="s">
        <v>54</v>
      </c>
      <c r="C10" s="9" t="s">
        <v>52</v>
      </c>
      <c r="D10" s="10" t="n">
        <v>1.6</v>
      </c>
      <c r="E10" s="11" t="n">
        <v>15</v>
      </c>
      <c r="F10" s="11" t="n">
        <v>3</v>
      </c>
      <c r="G10" s="12" t="n">
        <v>0.54</v>
      </c>
      <c r="H10" s="13" t="n">
        <v>28869</v>
      </c>
    </row>
    <row r="11" customFormat="false" ht="15" hidden="false" customHeight="false" outlineLevel="0" collapsed="false">
      <c r="A11" s="14" t="s">
        <v>47</v>
      </c>
      <c r="B11" s="14" t="s">
        <v>54</v>
      </c>
      <c r="C11" s="15" t="s">
        <v>53</v>
      </c>
      <c r="D11" s="16" t="n">
        <v>1.6</v>
      </c>
      <c r="E11" s="17" t="n">
        <v>32</v>
      </c>
      <c r="F11" s="17" t="n">
        <v>10</v>
      </c>
      <c r="G11" s="18" t="n">
        <v>0.52</v>
      </c>
      <c r="H11" s="19" t="n">
        <v>22829</v>
      </c>
    </row>
    <row r="12" customFormat="false" ht="15" hidden="false" customHeight="false" outlineLevel="0" collapsed="false">
      <c r="A12" s="8" t="s">
        <v>47</v>
      </c>
      <c r="B12" s="8" t="s">
        <v>55</v>
      </c>
      <c r="C12" s="9" t="s">
        <v>49</v>
      </c>
      <c r="D12" s="10" t="n">
        <v>1.6</v>
      </c>
      <c r="E12" s="11" t="n">
        <v>30</v>
      </c>
      <c r="F12" s="11" t="n">
        <v>5</v>
      </c>
      <c r="G12" s="12" t="n">
        <v>0.77</v>
      </c>
      <c r="H12" s="13" t="n">
        <v>17198</v>
      </c>
    </row>
    <row r="13" customFormat="false" ht="15" hidden="false" customHeight="false" outlineLevel="0" collapsed="false">
      <c r="A13" s="14" t="s">
        <v>47</v>
      </c>
      <c r="B13" s="14" t="s">
        <v>55</v>
      </c>
      <c r="C13" s="15" t="s">
        <v>50</v>
      </c>
      <c r="D13" s="16" t="n">
        <v>1.6</v>
      </c>
      <c r="E13" s="17" t="n">
        <v>41</v>
      </c>
      <c r="F13" s="17" t="n">
        <v>19</v>
      </c>
      <c r="G13" s="18" t="n">
        <v>0.59</v>
      </c>
      <c r="H13" s="19" t="n">
        <v>12383</v>
      </c>
    </row>
    <row r="14" customFormat="false" ht="15" hidden="false" customHeight="false" outlineLevel="0" collapsed="false">
      <c r="A14" s="8" t="s">
        <v>47</v>
      </c>
      <c r="B14" s="8" t="s">
        <v>55</v>
      </c>
      <c r="C14" s="9" t="s">
        <v>51</v>
      </c>
      <c r="D14" s="10" t="n">
        <v>1.6</v>
      </c>
      <c r="E14" s="11" t="n">
        <v>37</v>
      </c>
      <c r="F14" s="11" t="n">
        <v>19</v>
      </c>
      <c r="G14" s="12" t="n">
        <v>0.59</v>
      </c>
      <c r="H14" s="13" t="n">
        <v>10558</v>
      </c>
    </row>
    <row r="15" customFormat="false" ht="15" hidden="false" customHeight="false" outlineLevel="0" collapsed="false">
      <c r="A15" s="14" t="s">
        <v>47</v>
      </c>
      <c r="B15" s="14" t="s">
        <v>55</v>
      </c>
      <c r="C15" s="15" t="s">
        <v>52</v>
      </c>
      <c r="D15" s="16" t="n">
        <v>1.6</v>
      </c>
      <c r="E15" s="17" t="n">
        <v>28</v>
      </c>
      <c r="F15" s="17" t="n">
        <v>10</v>
      </c>
      <c r="G15" s="18" t="n">
        <v>0.55</v>
      </c>
      <c r="H15" s="19" t="n">
        <v>19008</v>
      </c>
    </row>
    <row r="16" customFormat="false" ht="15" hidden="false" customHeight="false" outlineLevel="0" collapsed="false">
      <c r="A16" s="8" t="s">
        <v>47</v>
      </c>
      <c r="B16" s="8" t="s">
        <v>55</v>
      </c>
      <c r="C16" s="9" t="s">
        <v>53</v>
      </c>
      <c r="D16" s="10" t="n">
        <v>1.6</v>
      </c>
      <c r="E16" s="11" t="n">
        <v>57</v>
      </c>
      <c r="F16" s="11" t="n">
        <v>19</v>
      </c>
      <c r="G16" s="12" t="n">
        <v>0.68</v>
      </c>
      <c r="H16" s="13" t="n">
        <v>13263</v>
      </c>
    </row>
    <row r="17" customFormat="false" ht="15" hidden="false" customHeight="false" outlineLevel="0" collapsed="false">
      <c r="A17" s="14" t="s">
        <v>47</v>
      </c>
      <c r="B17" s="14" t="s">
        <v>56</v>
      </c>
      <c r="C17" s="15" t="s">
        <v>49</v>
      </c>
      <c r="D17" s="16" t="n">
        <v>1.6</v>
      </c>
      <c r="E17" s="17" t="n">
        <v>25</v>
      </c>
      <c r="F17" s="17" t="n">
        <v>10</v>
      </c>
      <c r="G17" s="18" t="n">
        <v>0.77</v>
      </c>
      <c r="H17" s="19" t="n">
        <v>18050</v>
      </c>
    </row>
    <row r="18" customFormat="false" ht="15" hidden="false" customHeight="false" outlineLevel="0" collapsed="false">
      <c r="A18" s="8" t="s">
        <v>47</v>
      </c>
      <c r="B18" s="8" t="s">
        <v>56</v>
      </c>
      <c r="C18" s="9" t="s">
        <v>50</v>
      </c>
      <c r="D18" s="10" t="n">
        <v>1.6</v>
      </c>
      <c r="E18" s="11" t="n">
        <v>37</v>
      </c>
      <c r="F18" s="11" t="n">
        <v>23</v>
      </c>
      <c r="G18" s="12" t="n">
        <v>0.71</v>
      </c>
      <c r="H18" s="13" t="n">
        <v>14259</v>
      </c>
    </row>
    <row r="19" customFormat="false" ht="15" hidden="false" customHeight="false" outlineLevel="0" collapsed="false">
      <c r="A19" s="14" t="s">
        <v>47</v>
      </c>
      <c r="B19" s="14" t="s">
        <v>56</v>
      </c>
      <c r="C19" s="15" t="s">
        <v>51</v>
      </c>
      <c r="D19" s="16" t="n">
        <v>1.6</v>
      </c>
      <c r="E19" s="17" t="n">
        <v>38</v>
      </c>
      <c r="F19" s="17" t="n">
        <v>21</v>
      </c>
      <c r="G19" s="18" t="n">
        <v>0.73</v>
      </c>
      <c r="H19" s="19" t="n">
        <v>11309</v>
      </c>
    </row>
    <row r="20" customFormat="false" ht="15" hidden="false" customHeight="false" outlineLevel="0" collapsed="false">
      <c r="A20" s="8" t="s">
        <v>47</v>
      </c>
      <c r="B20" s="8" t="s">
        <v>56</v>
      </c>
      <c r="C20" s="9" t="s">
        <v>52</v>
      </c>
      <c r="D20" s="10" t="n">
        <v>1.6</v>
      </c>
      <c r="E20" s="11" t="n">
        <v>39</v>
      </c>
      <c r="F20" s="11" t="n">
        <v>19</v>
      </c>
      <c r="G20" s="12" t="n">
        <v>0.67</v>
      </c>
      <c r="H20" s="13" t="n">
        <v>21044</v>
      </c>
    </row>
    <row r="21" customFormat="false" ht="15" hidden="false" customHeight="false" outlineLevel="0" collapsed="false">
      <c r="A21" s="14" t="s">
        <v>47</v>
      </c>
      <c r="B21" s="14" t="s">
        <v>56</v>
      </c>
      <c r="C21" s="15" t="s">
        <v>53</v>
      </c>
      <c r="D21" s="16" t="n">
        <v>1.6</v>
      </c>
      <c r="E21" s="17" t="n">
        <v>121</v>
      </c>
      <c r="F21" s="17" t="n">
        <v>84</v>
      </c>
      <c r="G21" s="18" t="n">
        <v>0.67</v>
      </c>
      <c r="H21" s="19" t="n">
        <v>13124</v>
      </c>
    </row>
    <row r="22" customFormat="false" ht="15" hidden="false" customHeight="false" outlineLevel="0" collapsed="false">
      <c r="A22" s="8" t="s">
        <v>47</v>
      </c>
      <c r="B22" s="8" t="s">
        <v>57</v>
      </c>
      <c r="C22" s="9" t="s">
        <v>49</v>
      </c>
      <c r="D22" s="10" t="n">
        <v>1.6</v>
      </c>
      <c r="E22" s="11" t="n">
        <v>26</v>
      </c>
      <c r="F22" s="11" t="n">
        <v>3</v>
      </c>
      <c r="G22" s="12" t="n">
        <v>0.54</v>
      </c>
      <c r="H22" s="13" t="n">
        <v>22541</v>
      </c>
    </row>
    <row r="23" customFormat="false" ht="15" hidden="false" customHeight="false" outlineLevel="0" collapsed="false">
      <c r="A23" s="14" t="s">
        <v>47</v>
      </c>
      <c r="B23" s="14" t="s">
        <v>57</v>
      </c>
      <c r="C23" s="15" t="s">
        <v>50</v>
      </c>
      <c r="D23" s="16" t="n">
        <v>1.6</v>
      </c>
      <c r="E23" s="17" t="n">
        <v>37</v>
      </c>
      <c r="F23" s="17" t="n">
        <v>8</v>
      </c>
      <c r="G23" s="18" t="n">
        <v>0.6</v>
      </c>
      <c r="H23" s="19" t="n">
        <v>16782</v>
      </c>
    </row>
    <row r="24" customFormat="false" ht="15" hidden="false" customHeight="false" outlineLevel="0" collapsed="false">
      <c r="A24" s="8" t="s">
        <v>47</v>
      </c>
      <c r="B24" s="8" t="s">
        <v>57</v>
      </c>
      <c r="C24" s="9" t="s">
        <v>51</v>
      </c>
      <c r="D24" s="10" t="n">
        <v>1.6</v>
      </c>
      <c r="E24" s="11" t="n">
        <v>20</v>
      </c>
      <c r="F24" s="11" t="n">
        <v>3</v>
      </c>
      <c r="G24" s="12" t="n">
        <v>0.56</v>
      </c>
      <c r="H24" s="13" t="n">
        <v>13518</v>
      </c>
    </row>
    <row r="25" customFormat="false" ht="15" hidden="false" customHeight="false" outlineLevel="0" collapsed="false">
      <c r="A25" s="14" t="s">
        <v>47</v>
      </c>
      <c r="B25" s="14" t="s">
        <v>57</v>
      </c>
      <c r="C25" s="15" t="s">
        <v>52</v>
      </c>
      <c r="D25" s="16" t="n">
        <v>1.6</v>
      </c>
      <c r="E25" s="17" t="n">
        <v>28</v>
      </c>
      <c r="F25" s="17" t="n">
        <v>6</v>
      </c>
      <c r="G25" s="18" t="n">
        <v>0.41</v>
      </c>
      <c r="H25" s="19" t="n">
        <v>24332</v>
      </c>
    </row>
    <row r="26" customFormat="false" ht="15" hidden="false" customHeight="false" outlineLevel="0" collapsed="false">
      <c r="A26" s="8" t="s">
        <v>47</v>
      </c>
      <c r="B26" s="8" t="s">
        <v>57</v>
      </c>
      <c r="C26" s="9" t="s">
        <v>53</v>
      </c>
      <c r="D26" s="10" t="n">
        <v>1.6</v>
      </c>
      <c r="E26" s="11" t="n">
        <v>75</v>
      </c>
      <c r="F26" s="11" t="n">
        <v>14</v>
      </c>
      <c r="G26" s="12" t="n">
        <v>0.46</v>
      </c>
      <c r="H26" s="13" t="n">
        <v>18282</v>
      </c>
    </row>
    <row r="27" customFormat="false" ht="15" hidden="false" customHeight="false" outlineLevel="0" collapsed="false">
      <c r="A27" s="14" t="s">
        <v>47</v>
      </c>
      <c r="B27" s="14" t="s">
        <v>58</v>
      </c>
      <c r="C27" s="15" t="s">
        <v>49</v>
      </c>
      <c r="D27" s="16" t="n">
        <v>1.6</v>
      </c>
      <c r="E27" s="17" t="n">
        <v>61</v>
      </c>
      <c r="F27" s="17" t="n">
        <v>19</v>
      </c>
      <c r="G27" s="18" t="n">
        <v>0.62</v>
      </c>
      <c r="H27" s="19" t="n">
        <v>15850</v>
      </c>
    </row>
    <row r="28" customFormat="false" ht="15" hidden="false" customHeight="false" outlineLevel="0" collapsed="false">
      <c r="A28" s="8" t="s">
        <v>47</v>
      </c>
      <c r="B28" s="8" t="s">
        <v>58</v>
      </c>
      <c r="C28" s="9" t="s">
        <v>50</v>
      </c>
      <c r="D28" s="10" t="n">
        <v>1.6</v>
      </c>
      <c r="E28" s="11" t="n">
        <v>40</v>
      </c>
      <c r="F28" s="11" t="n">
        <v>23</v>
      </c>
      <c r="G28" s="12" t="n">
        <v>0.61</v>
      </c>
      <c r="H28" s="13" t="n">
        <v>12044</v>
      </c>
    </row>
    <row r="29" customFormat="false" ht="15" hidden="false" customHeight="false" outlineLevel="0" collapsed="false">
      <c r="A29" s="14" t="s">
        <v>47</v>
      </c>
      <c r="B29" s="14" t="s">
        <v>58</v>
      </c>
      <c r="C29" s="15" t="s">
        <v>51</v>
      </c>
      <c r="D29" s="16" t="n">
        <v>1.6</v>
      </c>
      <c r="E29" s="17" t="n">
        <v>166</v>
      </c>
      <c r="F29" s="17" t="n">
        <v>99</v>
      </c>
      <c r="G29" s="18" t="n">
        <v>0.79</v>
      </c>
      <c r="H29" s="19" t="n">
        <v>9671</v>
      </c>
    </row>
    <row r="30" customFormat="false" ht="15" hidden="false" customHeight="false" outlineLevel="0" collapsed="false">
      <c r="A30" s="8" t="s">
        <v>47</v>
      </c>
      <c r="B30" s="8" t="s">
        <v>58</v>
      </c>
      <c r="C30" s="9" t="s">
        <v>52</v>
      </c>
      <c r="D30" s="10" t="n">
        <v>1.6</v>
      </c>
      <c r="E30" s="11" t="n">
        <v>54</v>
      </c>
      <c r="F30" s="11" t="n">
        <v>27</v>
      </c>
      <c r="G30" s="12" t="n">
        <v>0.82</v>
      </c>
      <c r="H30" s="13" t="n">
        <v>16524</v>
      </c>
    </row>
    <row r="31" customFormat="false" ht="15" hidden="false" customHeight="false" outlineLevel="0" collapsed="false">
      <c r="A31" s="14" t="s">
        <v>47</v>
      </c>
      <c r="B31" s="14" t="s">
        <v>58</v>
      </c>
      <c r="C31" s="15" t="s">
        <v>53</v>
      </c>
      <c r="D31" s="16" t="n">
        <v>1.6</v>
      </c>
      <c r="E31" s="17" t="n">
        <v>82</v>
      </c>
      <c r="F31" s="17" t="n">
        <v>36</v>
      </c>
      <c r="G31" s="18" t="n">
        <v>0.68</v>
      </c>
      <c r="H31" s="19" t="n">
        <v>12497</v>
      </c>
    </row>
    <row r="32" customFormat="false" ht="15" hidden="false" customHeight="false" outlineLevel="0" collapsed="false">
      <c r="A32" s="8" t="s">
        <v>59</v>
      </c>
      <c r="B32" s="8" t="s">
        <v>48</v>
      </c>
      <c r="C32" s="9" t="s">
        <v>49</v>
      </c>
      <c r="D32" s="10" t="n">
        <v>31.2</v>
      </c>
      <c r="E32" s="11" t="n">
        <v>2025</v>
      </c>
      <c r="F32" s="11" t="n">
        <v>764</v>
      </c>
      <c r="G32" s="12" t="n">
        <v>0.73</v>
      </c>
      <c r="H32" s="13" t="n">
        <v>14905</v>
      </c>
    </row>
    <row r="33" customFormat="false" ht="15" hidden="false" customHeight="false" outlineLevel="0" collapsed="false">
      <c r="A33" s="14" t="s">
        <v>59</v>
      </c>
      <c r="B33" s="14" t="s">
        <v>48</v>
      </c>
      <c r="C33" s="15" t="s">
        <v>50</v>
      </c>
      <c r="D33" s="16" t="n">
        <v>31.2</v>
      </c>
      <c r="E33" s="17" t="n">
        <v>3123</v>
      </c>
      <c r="F33" s="17" t="n">
        <v>1316</v>
      </c>
      <c r="G33" s="18" t="n">
        <v>0.72</v>
      </c>
      <c r="H33" s="19" t="n">
        <v>11172</v>
      </c>
    </row>
    <row r="34" customFormat="false" ht="15" hidden="false" customHeight="false" outlineLevel="0" collapsed="false">
      <c r="A34" s="8" t="s">
        <v>59</v>
      </c>
      <c r="B34" s="8" t="s">
        <v>48</v>
      </c>
      <c r="C34" s="9" t="s">
        <v>51</v>
      </c>
      <c r="D34" s="10" t="n">
        <v>31.2</v>
      </c>
      <c r="E34" s="11" t="n">
        <v>2833</v>
      </c>
      <c r="F34" s="11" t="n">
        <v>1146</v>
      </c>
      <c r="G34" s="12" t="n">
        <v>0.83</v>
      </c>
      <c r="H34" s="13" t="n">
        <v>10818</v>
      </c>
    </row>
    <row r="35" customFormat="false" ht="15" hidden="false" customHeight="false" outlineLevel="0" collapsed="false">
      <c r="A35" s="14" t="s">
        <v>59</v>
      </c>
      <c r="B35" s="14" t="s">
        <v>48</v>
      </c>
      <c r="C35" s="15" t="s">
        <v>52</v>
      </c>
      <c r="D35" s="16" t="n">
        <v>31.2</v>
      </c>
      <c r="E35" s="17" t="n">
        <v>3070</v>
      </c>
      <c r="F35" s="17" t="n">
        <v>1464</v>
      </c>
      <c r="G35" s="18" t="n">
        <v>0.61</v>
      </c>
      <c r="H35" s="19" t="n">
        <v>18452</v>
      </c>
    </row>
    <row r="36" customFormat="false" ht="15" hidden="false" customHeight="false" outlineLevel="0" collapsed="false">
      <c r="A36" s="8" t="s">
        <v>59</v>
      </c>
      <c r="B36" s="8" t="s">
        <v>48</v>
      </c>
      <c r="C36" s="9" t="s">
        <v>53</v>
      </c>
      <c r="D36" s="10" t="n">
        <v>31.2</v>
      </c>
      <c r="E36" s="11" t="n">
        <v>8464</v>
      </c>
      <c r="F36" s="11" t="n">
        <v>4737</v>
      </c>
      <c r="G36" s="12" t="n">
        <v>0.75</v>
      </c>
      <c r="H36" s="13" t="n">
        <v>11900</v>
      </c>
    </row>
    <row r="37" customFormat="false" ht="15" hidden="false" customHeight="false" outlineLevel="0" collapsed="false">
      <c r="A37" s="14" t="s">
        <v>59</v>
      </c>
      <c r="B37" s="14" t="s">
        <v>54</v>
      </c>
      <c r="C37" s="15" t="s">
        <v>49</v>
      </c>
      <c r="D37" s="16" t="n">
        <v>31.2</v>
      </c>
      <c r="E37" s="17" t="n">
        <v>5811</v>
      </c>
      <c r="F37" s="17" t="n">
        <v>1194</v>
      </c>
      <c r="G37" s="18" t="n">
        <v>0.53</v>
      </c>
      <c r="H37" s="19" t="n">
        <v>29174</v>
      </c>
    </row>
    <row r="38" customFormat="false" ht="15" hidden="false" customHeight="false" outlineLevel="0" collapsed="false">
      <c r="A38" s="8" t="s">
        <v>59</v>
      </c>
      <c r="B38" s="8" t="s">
        <v>54</v>
      </c>
      <c r="C38" s="9" t="s">
        <v>50</v>
      </c>
      <c r="D38" s="10" t="n">
        <v>31.2</v>
      </c>
      <c r="E38" s="11" t="n">
        <v>1155</v>
      </c>
      <c r="F38" s="11" t="n">
        <v>346</v>
      </c>
      <c r="G38" s="12" t="n">
        <v>0.39</v>
      </c>
      <c r="H38" s="13" t="n">
        <v>22386</v>
      </c>
    </row>
    <row r="39" customFormat="false" ht="15" hidden="false" customHeight="false" outlineLevel="0" collapsed="false">
      <c r="A39" s="14" t="s">
        <v>59</v>
      </c>
      <c r="B39" s="14" t="s">
        <v>54</v>
      </c>
      <c r="C39" s="15" t="s">
        <v>51</v>
      </c>
      <c r="D39" s="16" t="n">
        <v>31.2</v>
      </c>
      <c r="E39" s="17" t="n">
        <v>1812</v>
      </c>
      <c r="F39" s="17" t="n">
        <v>459</v>
      </c>
      <c r="G39" s="18" t="n">
        <v>0.51</v>
      </c>
      <c r="H39" s="19" t="n">
        <v>16740</v>
      </c>
    </row>
    <row r="40" customFormat="false" ht="15" hidden="false" customHeight="false" outlineLevel="0" collapsed="false">
      <c r="A40" s="8" t="s">
        <v>59</v>
      </c>
      <c r="B40" s="8" t="s">
        <v>54</v>
      </c>
      <c r="C40" s="9" t="s">
        <v>52</v>
      </c>
      <c r="D40" s="10" t="n">
        <v>31.2</v>
      </c>
      <c r="E40" s="11" t="n">
        <v>1188</v>
      </c>
      <c r="F40" s="11" t="n">
        <v>345</v>
      </c>
      <c r="G40" s="12" t="n">
        <v>0.59</v>
      </c>
      <c r="H40" s="13" t="n">
        <v>32281</v>
      </c>
    </row>
    <row r="41" customFormat="false" ht="15" hidden="false" customHeight="false" outlineLevel="0" collapsed="false">
      <c r="A41" s="14" t="s">
        <v>59</v>
      </c>
      <c r="B41" s="14" t="s">
        <v>54</v>
      </c>
      <c r="C41" s="15" t="s">
        <v>53</v>
      </c>
      <c r="D41" s="16" t="n">
        <v>31.2</v>
      </c>
      <c r="E41" s="17" t="n">
        <v>2234</v>
      </c>
      <c r="F41" s="17" t="n">
        <v>617</v>
      </c>
      <c r="G41" s="18" t="n">
        <v>0.6</v>
      </c>
      <c r="H41" s="19" t="n">
        <v>22152</v>
      </c>
    </row>
    <row r="42" customFormat="false" ht="15" hidden="false" customHeight="false" outlineLevel="0" collapsed="false">
      <c r="A42" s="8" t="s">
        <v>59</v>
      </c>
      <c r="B42" s="8" t="s">
        <v>55</v>
      </c>
      <c r="C42" s="9" t="s">
        <v>49</v>
      </c>
      <c r="D42" s="10" t="n">
        <v>31.2</v>
      </c>
      <c r="E42" s="11" t="n">
        <v>2434</v>
      </c>
      <c r="F42" s="11" t="n">
        <v>565</v>
      </c>
      <c r="G42" s="12" t="n">
        <v>0.62</v>
      </c>
      <c r="H42" s="13" t="n">
        <v>18053</v>
      </c>
    </row>
    <row r="43" customFormat="false" ht="15" hidden="false" customHeight="false" outlineLevel="0" collapsed="false">
      <c r="A43" s="14" t="s">
        <v>59</v>
      </c>
      <c r="B43" s="14" t="s">
        <v>55</v>
      </c>
      <c r="C43" s="15" t="s">
        <v>50</v>
      </c>
      <c r="D43" s="16" t="n">
        <v>31.2</v>
      </c>
      <c r="E43" s="17" t="n">
        <v>3348</v>
      </c>
      <c r="F43" s="17" t="n">
        <v>1577</v>
      </c>
      <c r="G43" s="18" t="n">
        <v>0.76</v>
      </c>
      <c r="H43" s="19" t="n">
        <v>13051</v>
      </c>
    </row>
    <row r="44" customFormat="false" ht="15" hidden="false" customHeight="false" outlineLevel="0" collapsed="false">
      <c r="A44" s="8" t="s">
        <v>59</v>
      </c>
      <c r="B44" s="8" t="s">
        <v>55</v>
      </c>
      <c r="C44" s="9" t="s">
        <v>51</v>
      </c>
      <c r="D44" s="10" t="n">
        <v>31.2</v>
      </c>
      <c r="E44" s="11" t="n">
        <v>3396</v>
      </c>
      <c r="F44" s="11" t="n">
        <v>1535</v>
      </c>
      <c r="G44" s="12" t="n">
        <v>0.59</v>
      </c>
      <c r="H44" s="13" t="n">
        <v>11014</v>
      </c>
    </row>
    <row r="45" customFormat="false" ht="15" hidden="false" customHeight="false" outlineLevel="0" collapsed="false">
      <c r="A45" s="14" t="s">
        <v>59</v>
      </c>
      <c r="B45" s="14" t="s">
        <v>55</v>
      </c>
      <c r="C45" s="15" t="s">
        <v>52</v>
      </c>
      <c r="D45" s="16" t="n">
        <v>31.2</v>
      </c>
      <c r="E45" s="17" t="n">
        <v>2354</v>
      </c>
      <c r="F45" s="17" t="n">
        <v>929</v>
      </c>
      <c r="G45" s="18" t="n">
        <v>0.8</v>
      </c>
      <c r="H45" s="19" t="n">
        <v>18530</v>
      </c>
    </row>
    <row r="46" customFormat="false" ht="15" hidden="false" customHeight="false" outlineLevel="0" collapsed="false">
      <c r="A46" s="8" t="s">
        <v>59</v>
      </c>
      <c r="B46" s="8" t="s">
        <v>55</v>
      </c>
      <c r="C46" s="9" t="s">
        <v>53</v>
      </c>
      <c r="D46" s="10" t="n">
        <v>31.2</v>
      </c>
      <c r="E46" s="11" t="n">
        <v>4763</v>
      </c>
      <c r="F46" s="11" t="n">
        <v>1549</v>
      </c>
      <c r="G46" s="12" t="n">
        <v>0.62</v>
      </c>
      <c r="H46" s="13" t="n">
        <v>13409</v>
      </c>
    </row>
    <row r="47" customFormat="false" ht="15" hidden="false" customHeight="false" outlineLevel="0" collapsed="false">
      <c r="A47" s="14" t="s">
        <v>59</v>
      </c>
      <c r="B47" s="14" t="s">
        <v>56</v>
      </c>
      <c r="C47" s="15" t="s">
        <v>49</v>
      </c>
      <c r="D47" s="16" t="n">
        <v>31.2</v>
      </c>
      <c r="E47" s="17" t="n">
        <v>2143</v>
      </c>
      <c r="F47" s="17" t="n">
        <v>818</v>
      </c>
      <c r="G47" s="18" t="n">
        <v>0.66</v>
      </c>
      <c r="H47" s="19" t="n">
        <v>16853</v>
      </c>
    </row>
    <row r="48" customFormat="false" ht="15" hidden="false" customHeight="false" outlineLevel="0" collapsed="false">
      <c r="A48" s="8" t="s">
        <v>59</v>
      </c>
      <c r="B48" s="8" t="s">
        <v>56</v>
      </c>
      <c r="C48" s="9" t="s">
        <v>50</v>
      </c>
      <c r="D48" s="10" t="n">
        <v>31.2</v>
      </c>
      <c r="E48" s="11" t="n">
        <v>3281</v>
      </c>
      <c r="F48" s="11" t="n">
        <v>1481</v>
      </c>
      <c r="G48" s="12" t="n">
        <v>0.75</v>
      </c>
      <c r="H48" s="13" t="n">
        <v>13927</v>
      </c>
    </row>
    <row r="49" customFormat="false" ht="15" hidden="false" customHeight="false" outlineLevel="0" collapsed="false">
      <c r="A49" s="14" t="s">
        <v>59</v>
      </c>
      <c r="B49" s="14" t="s">
        <v>56</v>
      </c>
      <c r="C49" s="15" t="s">
        <v>51</v>
      </c>
      <c r="D49" s="16" t="n">
        <v>31.2</v>
      </c>
      <c r="E49" s="17" t="n">
        <v>2985</v>
      </c>
      <c r="F49" s="17" t="n">
        <v>1720</v>
      </c>
      <c r="G49" s="18" t="n">
        <v>0.56</v>
      </c>
      <c r="H49" s="19" t="n">
        <v>10922</v>
      </c>
    </row>
    <row r="50" customFormat="false" ht="15" hidden="false" customHeight="false" outlineLevel="0" collapsed="false">
      <c r="A50" s="8" t="s">
        <v>59</v>
      </c>
      <c r="B50" s="8" t="s">
        <v>56</v>
      </c>
      <c r="C50" s="9" t="s">
        <v>52</v>
      </c>
      <c r="D50" s="10" t="n">
        <v>31.2</v>
      </c>
      <c r="E50" s="11" t="n">
        <v>3201</v>
      </c>
      <c r="F50" s="11" t="n">
        <v>1876</v>
      </c>
      <c r="G50" s="12" t="n">
        <v>0.61</v>
      </c>
      <c r="H50" s="13" t="n">
        <v>19854</v>
      </c>
    </row>
    <row r="51" customFormat="false" ht="15" hidden="false" customHeight="false" outlineLevel="0" collapsed="false">
      <c r="A51" s="14" t="s">
        <v>59</v>
      </c>
      <c r="B51" s="14" t="s">
        <v>56</v>
      </c>
      <c r="C51" s="15" t="s">
        <v>53</v>
      </c>
      <c r="D51" s="16" t="n">
        <v>31.2</v>
      </c>
      <c r="E51" s="17" t="n">
        <v>8667</v>
      </c>
      <c r="F51" s="17" t="n">
        <v>4496</v>
      </c>
      <c r="G51" s="18" t="n">
        <v>0.61</v>
      </c>
      <c r="H51" s="19" t="n">
        <v>14711</v>
      </c>
    </row>
    <row r="52" customFormat="false" ht="15" hidden="false" customHeight="false" outlineLevel="0" collapsed="false">
      <c r="A52" s="8" t="s">
        <v>59</v>
      </c>
      <c r="B52" s="8" t="s">
        <v>57</v>
      </c>
      <c r="C52" s="9" t="s">
        <v>49</v>
      </c>
      <c r="D52" s="10" t="n">
        <v>31.2</v>
      </c>
      <c r="E52" s="11" t="n">
        <v>1220</v>
      </c>
      <c r="F52" s="11" t="n">
        <v>123</v>
      </c>
      <c r="G52" s="12" t="n">
        <v>0.63</v>
      </c>
      <c r="H52" s="13" t="n">
        <v>22128</v>
      </c>
    </row>
    <row r="53" customFormat="false" ht="15" hidden="false" customHeight="false" outlineLevel="0" collapsed="false">
      <c r="A53" s="14" t="s">
        <v>59</v>
      </c>
      <c r="B53" s="14" t="s">
        <v>57</v>
      </c>
      <c r="C53" s="15" t="s">
        <v>50</v>
      </c>
      <c r="D53" s="16" t="n">
        <v>31.2</v>
      </c>
      <c r="E53" s="17" t="n">
        <v>1433</v>
      </c>
      <c r="F53" s="17" t="n">
        <v>143</v>
      </c>
      <c r="G53" s="18" t="n">
        <v>0.56</v>
      </c>
      <c r="H53" s="19" t="n">
        <v>17271</v>
      </c>
    </row>
    <row r="54" customFormat="false" ht="15" hidden="false" customHeight="false" outlineLevel="0" collapsed="false">
      <c r="A54" s="8" t="s">
        <v>59</v>
      </c>
      <c r="B54" s="8" t="s">
        <v>57</v>
      </c>
      <c r="C54" s="9" t="s">
        <v>51</v>
      </c>
      <c r="D54" s="10" t="n">
        <v>31.2</v>
      </c>
      <c r="E54" s="11" t="n">
        <v>738</v>
      </c>
      <c r="F54" s="11" t="n">
        <v>108</v>
      </c>
      <c r="G54" s="12" t="n">
        <v>0.47</v>
      </c>
      <c r="H54" s="13" t="n">
        <v>14214</v>
      </c>
    </row>
    <row r="55" customFormat="false" ht="15" hidden="false" customHeight="false" outlineLevel="0" collapsed="false">
      <c r="A55" s="14" t="s">
        <v>59</v>
      </c>
      <c r="B55" s="14" t="s">
        <v>57</v>
      </c>
      <c r="C55" s="15" t="s">
        <v>52</v>
      </c>
      <c r="D55" s="16" t="n">
        <v>31.2</v>
      </c>
      <c r="E55" s="17" t="n">
        <v>1224</v>
      </c>
      <c r="F55" s="17" t="n">
        <v>184</v>
      </c>
      <c r="G55" s="18" t="n">
        <v>0.65</v>
      </c>
      <c r="H55" s="19" t="n">
        <v>23961</v>
      </c>
    </row>
    <row r="56" customFormat="false" ht="15" hidden="false" customHeight="false" outlineLevel="0" collapsed="false">
      <c r="A56" s="8" t="s">
        <v>59</v>
      </c>
      <c r="B56" s="8" t="s">
        <v>57</v>
      </c>
      <c r="C56" s="9" t="s">
        <v>53</v>
      </c>
      <c r="D56" s="10" t="n">
        <v>31.2</v>
      </c>
      <c r="E56" s="11" t="n">
        <v>2839</v>
      </c>
      <c r="F56" s="11" t="n">
        <v>403</v>
      </c>
      <c r="G56" s="12" t="n">
        <v>0.45</v>
      </c>
      <c r="H56" s="13" t="n">
        <v>18552</v>
      </c>
    </row>
    <row r="57" customFormat="false" ht="15" hidden="false" customHeight="false" outlineLevel="0" collapsed="false">
      <c r="A57" s="14" t="s">
        <v>59</v>
      </c>
      <c r="B57" s="14" t="s">
        <v>58</v>
      </c>
      <c r="C57" s="15" t="s">
        <v>49</v>
      </c>
      <c r="D57" s="16" t="n">
        <v>31.2</v>
      </c>
      <c r="E57" s="17" t="n">
        <v>2585</v>
      </c>
      <c r="F57" s="17" t="n">
        <v>974</v>
      </c>
      <c r="G57" s="18" t="n">
        <v>0.8</v>
      </c>
      <c r="H57" s="19" t="n">
        <v>16095</v>
      </c>
    </row>
    <row r="58" customFormat="false" ht="15" hidden="false" customHeight="false" outlineLevel="0" collapsed="false">
      <c r="A58" s="8" t="s">
        <v>59</v>
      </c>
      <c r="B58" s="8" t="s">
        <v>58</v>
      </c>
      <c r="C58" s="9" t="s">
        <v>50</v>
      </c>
      <c r="D58" s="10" t="n">
        <v>31.2</v>
      </c>
      <c r="E58" s="11" t="n">
        <v>1902</v>
      </c>
      <c r="F58" s="11" t="n">
        <v>687</v>
      </c>
      <c r="G58" s="12" t="n">
        <v>0.66</v>
      </c>
      <c r="H58" s="13" t="n">
        <v>11112</v>
      </c>
    </row>
    <row r="59" customFormat="false" ht="15" hidden="false" customHeight="false" outlineLevel="0" collapsed="false">
      <c r="A59" s="14" t="s">
        <v>59</v>
      </c>
      <c r="B59" s="14" t="s">
        <v>58</v>
      </c>
      <c r="C59" s="15" t="s">
        <v>51</v>
      </c>
      <c r="D59" s="16" t="n">
        <v>31.2</v>
      </c>
      <c r="E59" s="17" t="n">
        <v>7411</v>
      </c>
      <c r="F59" s="17" t="n">
        <v>4396</v>
      </c>
      <c r="G59" s="18" t="n">
        <v>0.69</v>
      </c>
      <c r="H59" s="19" t="n">
        <v>9856</v>
      </c>
    </row>
    <row r="60" customFormat="false" ht="15" hidden="false" customHeight="false" outlineLevel="0" collapsed="false">
      <c r="A60" s="8" t="s">
        <v>59</v>
      </c>
      <c r="B60" s="8" t="s">
        <v>58</v>
      </c>
      <c r="C60" s="9" t="s">
        <v>52</v>
      </c>
      <c r="D60" s="10" t="n">
        <v>31.2</v>
      </c>
      <c r="E60" s="11" t="n">
        <v>2909</v>
      </c>
      <c r="F60" s="11" t="n">
        <v>1467</v>
      </c>
      <c r="G60" s="12" t="n">
        <v>0.82</v>
      </c>
      <c r="H60" s="13" t="n">
        <v>16881</v>
      </c>
    </row>
    <row r="61" customFormat="false" ht="15" hidden="false" customHeight="false" outlineLevel="0" collapsed="false">
      <c r="A61" s="14" t="s">
        <v>59</v>
      </c>
      <c r="B61" s="14" t="s">
        <v>58</v>
      </c>
      <c r="C61" s="15" t="s">
        <v>53</v>
      </c>
      <c r="D61" s="16" t="n">
        <v>31.2</v>
      </c>
      <c r="E61" s="17" t="n">
        <v>3481</v>
      </c>
      <c r="F61" s="17" t="n">
        <v>2051</v>
      </c>
      <c r="G61" s="18" t="n">
        <v>0.68</v>
      </c>
      <c r="H61" s="19" t="n">
        <v>11288</v>
      </c>
    </row>
    <row r="62" customFormat="false" ht="15" hidden="false" customHeight="false" outlineLevel="0" collapsed="false">
      <c r="A62" s="8" t="s">
        <v>60</v>
      </c>
      <c r="B62" s="8" t="s">
        <v>48</v>
      </c>
      <c r="C62" s="9" t="s">
        <v>49</v>
      </c>
      <c r="D62" s="10" t="n">
        <v>3.3</v>
      </c>
      <c r="E62" s="11" t="n">
        <v>96</v>
      </c>
      <c r="F62" s="11" t="n">
        <v>30</v>
      </c>
      <c r="G62" s="12" t="n">
        <v>0.77</v>
      </c>
      <c r="H62" s="13" t="n">
        <v>16891</v>
      </c>
    </row>
    <row r="63" customFormat="false" ht="15" hidden="false" customHeight="false" outlineLevel="0" collapsed="false">
      <c r="A63" s="14" t="s">
        <v>60</v>
      </c>
      <c r="B63" s="14" t="s">
        <v>48</v>
      </c>
      <c r="C63" s="15" t="s">
        <v>50</v>
      </c>
      <c r="D63" s="16" t="n">
        <v>3.3</v>
      </c>
      <c r="E63" s="17" t="n">
        <v>136</v>
      </c>
      <c r="F63" s="17" t="n">
        <v>77</v>
      </c>
      <c r="G63" s="18" t="n">
        <v>0.84</v>
      </c>
      <c r="H63" s="19" t="n">
        <v>11801</v>
      </c>
    </row>
    <row r="64" customFormat="false" ht="15" hidden="false" customHeight="false" outlineLevel="0" collapsed="false">
      <c r="A64" s="8" t="s">
        <v>60</v>
      </c>
      <c r="B64" s="8" t="s">
        <v>48</v>
      </c>
      <c r="C64" s="9" t="s">
        <v>51</v>
      </c>
      <c r="D64" s="10" t="n">
        <v>3.3</v>
      </c>
      <c r="E64" s="11" t="n">
        <v>133</v>
      </c>
      <c r="F64" s="11" t="n">
        <v>73</v>
      </c>
      <c r="G64" s="12" t="n">
        <v>0.79</v>
      </c>
      <c r="H64" s="13" t="n">
        <v>9570</v>
      </c>
    </row>
    <row r="65" customFormat="false" ht="15" hidden="false" customHeight="false" outlineLevel="0" collapsed="false">
      <c r="A65" s="14" t="s">
        <v>60</v>
      </c>
      <c r="B65" s="14" t="s">
        <v>48</v>
      </c>
      <c r="C65" s="15" t="s">
        <v>52</v>
      </c>
      <c r="D65" s="16" t="n">
        <v>3.3</v>
      </c>
      <c r="E65" s="17" t="n">
        <v>147</v>
      </c>
      <c r="F65" s="17" t="n">
        <v>94</v>
      </c>
      <c r="G65" s="18" t="n">
        <v>0.63</v>
      </c>
      <c r="H65" s="19" t="n">
        <v>16079</v>
      </c>
    </row>
    <row r="66" customFormat="false" ht="15" hidden="false" customHeight="false" outlineLevel="0" collapsed="false">
      <c r="A66" s="8" t="s">
        <v>60</v>
      </c>
      <c r="B66" s="8" t="s">
        <v>48</v>
      </c>
      <c r="C66" s="9" t="s">
        <v>53</v>
      </c>
      <c r="D66" s="10" t="n">
        <v>3.3</v>
      </c>
      <c r="E66" s="11" t="n">
        <v>401</v>
      </c>
      <c r="F66" s="11" t="n">
        <v>162</v>
      </c>
      <c r="G66" s="12" t="n">
        <v>0.64</v>
      </c>
      <c r="H66" s="13" t="n">
        <v>11846</v>
      </c>
    </row>
    <row r="67" customFormat="false" ht="15" hidden="false" customHeight="false" outlineLevel="0" collapsed="false">
      <c r="A67" s="14" t="s">
        <v>60</v>
      </c>
      <c r="B67" s="14" t="s">
        <v>54</v>
      </c>
      <c r="C67" s="15" t="s">
        <v>49</v>
      </c>
      <c r="D67" s="16" t="n">
        <v>3.3</v>
      </c>
      <c r="E67" s="17" t="n">
        <v>201</v>
      </c>
      <c r="F67" s="17" t="n">
        <v>29</v>
      </c>
      <c r="G67" s="18" t="n">
        <v>0.54</v>
      </c>
      <c r="H67" s="19" t="n">
        <v>27801</v>
      </c>
    </row>
    <row r="68" customFormat="false" ht="15" hidden="false" customHeight="false" outlineLevel="0" collapsed="false">
      <c r="A68" s="8" t="s">
        <v>60</v>
      </c>
      <c r="B68" s="8" t="s">
        <v>54</v>
      </c>
      <c r="C68" s="9" t="s">
        <v>50</v>
      </c>
      <c r="D68" s="10" t="n">
        <v>3.3</v>
      </c>
      <c r="E68" s="11" t="n">
        <v>46</v>
      </c>
      <c r="F68" s="11" t="n">
        <v>16</v>
      </c>
      <c r="G68" s="12" t="n">
        <v>0.51</v>
      </c>
      <c r="H68" s="13" t="n">
        <v>21854</v>
      </c>
    </row>
    <row r="69" customFormat="false" ht="15" hidden="false" customHeight="false" outlineLevel="0" collapsed="false">
      <c r="A69" s="14" t="s">
        <v>60</v>
      </c>
      <c r="B69" s="14" t="s">
        <v>54</v>
      </c>
      <c r="C69" s="15" t="s">
        <v>51</v>
      </c>
      <c r="D69" s="16" t="n">
        <v>3.3</v>
      </c>
      <c r="E69" s="17" t="n">
        <v>71</v>
      </c>
      <c r="F69" s="17" t="n">
        <v>26</v>
      </c>
      <c r="G69" s="18" t="n">
        <v>0.41</v>
      </c>
      <c r="H69" s="19" t="n">
        <v>16655</v>
      </c>
    </row>
    <row r="70" customFormat="false" ht="15" hidden="false" customHeight="false" outlineLevel="0" collapsed="false">
      <c r="A70" s="8" t="s">
        <v>60</v>
      </c>
      <c r="B70" s="8" t="s">
        <v>54</v>
      </c>
      <c r="C70" s="9" t="s">
        <v>52</v>
      </c>
      <c r="D70" s="10" t="n">
        <v>3.3</v>
      </c>
      <c r="E70" s="11" t="n">
        <v>42</v>
      </c>
      <c r="F70" s="11" t="n">
        <v>12</v>
      </c>
      <c r="G70" s="12" t="n">
        <v>0.6</v>
      </c>
      <c r="H70" s="13" t="n">
        <v>29719</v>
      </c>
    </row>
    <row r="71" customFormat="false" ht="15" hidden="false" customHeight="false" outlineLevel="0" collapsed="false">
      <c r="A71" s="14" t="s">
        <v>60</v>
      </c>
      <c r="B71" s="14" t="s">
        <v>54</v>
      </c>
      <c r="C71" s="15" t="s">
        <v>53</v>
      </c>
      <c r="D71" s="16" t="n">
        <v>3.3</v>
      </c>
      <c r="E71" s="17" t="n">
        <v>93</v>
      </c>
      <c r="F71" s="17" t="n">
        <v>21</v>
      </c>
      <c r="G71" s="18" t="n">
        <v>0.47</v>
      </c>
      <c r="H71" s="19" t="n">
        <v>20463</v>
      </c>
    </row>
    <row r="72" customFormat="false" ht="15" hidden="false" customHeight="false" outlineLevel="0" collapsed="false">
      <c r="A72" s="8" t="s">
        <v>60</v>
      </c>
      <c r="B72" s="8" t="s">
        <v>55</v>
      </c>
      <c r="C72" s="9" t="s">
        <v>49</v>
      </c>
      <c r="D72" s="10" t="n">
        <v>3.3</v>
      </c>
      <c r="E72" s="11" t="n">
        <v>91</v>
      </c>
      <c r="F72" s="11" t="n">
        <v>20</v>
      </c>
      <c r="G72" s="12" t="n">
        <v>0.63</v>
      </c>
      <c r="H72" s="13" t="n">
        <v>16983</v>
      </c>
    </row>
    <row r="73" customFormat="false" ht="15" hidden="false" customHeight="false" outlineLevel="0" collapsed="false">
      <c r="A73" s="14" t="s">
        <v>60</v>
      </c>
      <c r="B73" s="14" t="s">
        <v>55</v>
      </c>
      <c r="C73" s="15" t="s">
        <v>50</v>
      </c>
      <c r="D73" s="16" t="n">
        <v>3.3</v>
      </c>
      <c r="E73" s="17" t="n">
        <v>125</v>
      </c>
      <c r="F73" s="17" t="n">
        <v>50</v>
      </c>
      <c r="G73" s="18" t="n">
        <v>0.78</v>
      </c>
      <c r="H73" s="19" t="n">
        <v>12668</v>
      </c>
    </row>
    <row r="74" customFormat="false" ht="15" hidden="false" customHeight="false" outlineLevel="0" collapsed="false">
      <c r="A74" s="8" t="s">
        <v>60</v>
      </c>
      <c r="B74" s="8" t="s">
        <v>55</v>
      </c>
      <c r="C74" s="9" t="s">
        <v>51</v>
      </c>
      <c r="D74" s="10" t="n">
        <v>3.3</v>
      </c>
      <c r="E74" s="11" t="n">
        <v>123</v>
      </c>
      <c r="F74" s="11" t="n">
        <v>44</v>
      </c>
      <c r="G74" s="12" t="n">
        <v>0.72</v>
      </c>
      <c r="H74" s="13" t="n">
        <v>10975</v>
      </c>
    </row>
    <row r="75" customFormat="false" ht="15" hidden="false" customHeight="false" outlineLevel="0" collapsed="false">
      <c r="A75" s="14" t="s">
        <v>60</v>
      </c>
      <c r="B75" s="14" t="s">
        <v>55</v>
      </c>
      <c r="C75" s="15" t="s">
        <v>52</v>
      </c>
      <c r="D75" s="16" t="n">
        <v>3.3</v>
      </c>
      <c r="E75" s="17" t="n">
        <v>91</v>
      </c>
      <c r="F75" s="17" t="n">
        <v>36</v>
      </c>
      <c r="G75" s="18" t="n">
        <v>0.69</v>
      </c>
      <c r="H75" s="19" t="n">
        <v>17880</v>
      </c>
    </row>
    <row r="76" customFormat="false" ht="15" hidden="false" customHeight="false" outlineLevel="0" collapsed="false">
      <c r="A76" s="8" t="s">
        <v>60</v>
      </c>
      <c r="B76" s="8" t="s">
        <v>55</v>
      </c>
      <c r="C76" s="9" t="s">
        <v>53</v>
      </c>
      <c r="D76" s="10" t="n">
        <v>3.3</v>
      </c>
      <c r="E76" s="11" t="n">
        <v>205</v>
      </c>
      <c r="F76" s="11" t="n">
        <v>88</v>
      </c>
      <c r="G76" s="12" t="n">
        <v>0.71</v>
      </c>
      <c r="H76" s="13" t="n">
        <v>12651</v>
      </c>
    </row>
    <row r="77" customFormat="false" ht="15" hidden="false" customHeight="false" outlineLevel="0" collapsed="false">
      <c r="A77" s="14" t="s">
        <v>60</v>
      </c>
      <c r="B77" s="14" t="s">
        <v>56</v>
      </c>
      <c r="C77" s="15" t="s">
        <v>49</v>
      </c>
      <c r="D77" s="16" t="n">
        <v>3.3</v>
      </c>
      <c r="E77" s="17" t="n">
        <v>81</v>
      </c>
      <c r="F77" s="17" t="n">
        <v>33</v>
      </c>
      <c r="G77" s="18" t="n">
        <v>0.57</v>
      </c>
      <c r="H77" s="19" t="n">
        <v>17975</v>
      </c>
    </row>
    <row r="78" customFormat="false" ht="15" hidden="false" customHeight="false" outlineLevel="0" collapsed="false">
      <c r="A78" s="8" t="s">
        <v>60</v>
      </c>
      <c r="B78" s="8" t="s">
        <v>56</v>
      </c>
      <c r="C78" s="9" t="s">
        <v>50</v>
      </c>
      <c r="D78" s="10" t="n">
        <v>3.3</v>
      </c>
      <c r="E78" s="11" t="n">
        <v>133</v>
      </c>
      <c r="F78" s="11" t="n">
        <v>63</v>
      </c>
      <c r="G78" s="12" t="n">
        <v>0.66</v>
      </c>
      <c r="H78" s="13" t="n">
        <v>12799</v>
      </c>
    </row>
    <row r="79" customFormat="false" ht="15" hidden="false" customHeight="false" outlineLevel="0" collapsed="false">
      <c r="A79" s="14" t="s">
        <v>60</v>
      </c>
      <c r="B79" s="14" t="s">
        <v>56</v>
      </c>
      <c r="C79" s="15" t="s">
        <v>51</v>
      </c>
      <c r="D79" s="16" t="n">
        <v>3.3</v>
      </c>
      <c r="E79" s="17" t="n">
        <v>130</v>
      </c>
      <c r="F79" s="17" t="n">
        <v>64</v>
      </c>
      <c r="G79" s="18" t="n">
        <v>0.72</v>
      </c>
      <c r="H79" s="19" t="n">
        <v>11464</v>
      </c>
    </row>
    <row r="80" customFormat="false" ht="15" hidden="false" customHeight="false" outlineLevel="0" collapsed="false">
      <c r="A80" s="8" t="s">
        <v>60</v>
      </c>
      <c r="B80" s="8" t="s">
        <v>56</v>
      </c>
      <c r="C80" s="9" t="s">
        <v>52</v>
      </c>
      <c r="D80" s="10" t="n">
        <v>3.3</v>
      </c>
      <c r="E80" s="11" t="n">
        <v>122</v>
      </c>
      <c r="F80" s="11" t="n">
        <v>74</v>
      </c>
      <c r="G80" s="12" t="n">
        <v>0.55</v>
      </c>
      <c r="H80" s="13" t="n">
        <v>20361</v>
      </c>
    </row>
    <row r="81" customFormat="false" ht="15" hidden="false" customHeight="false" outlineLevel="0" collapsed="false">
      <c r="A81" s="14" t="s">
        <v>60</v>
      </c>
      <c r="B81" s="14" t="s">
        <v>56</v>
      </c>
      <c r="C81" s="15" t="s">
        <v>53</v>
      </c>
      <c r="D81" s="16" t="n">
        <v>3.3</v>
      </c>
      <c r="E81" s="17" t="n">
        <v>393</v>
      </c>
      <c r="F81" s="17" t="n">
        <v>198</v>
      </c>
      <c r="G81" s="18" t="n">
        <v>0.6</v>
      </c>
      <c r="H81" s="19" t="n">
        <v>13096</v>
      </c>
    </row>
    <row r="82" customFormat="false" ht="15" hidden="false" customHeight="false" outlineLevel="0" collapsed="false">
      <c r="A82" s="8" t="s">
        <v>60</v>
      </c>
      <c r="B82" s="8" t="s">
        <v>57</v>
      </c>
      <c r="C82" s="9" t="s">
        <v>49</v>
      </c>
      <c r="D82" s="10" t="n">
        <v>3.3</v>
      </c>
      <c r="E82" s="11" t="n">
        <v>62</v>
      </c>
      <c r="F82" s="11" t="n">
        <v>10</v>
      </c>
      <c r="G82" s="12" t="n">
        <v>0.59</v>
      </c>
      <c r="H82" s="13" t="n">
        <v>22439</v>
      </c>
    </row>
    <row r="83" customFormat="false" ht="15" hidden="false" customHeight="false" outlineLevel="0" collapsed="false">
      <c r="A83" s="14" t="s">
        <v>60</v>
      </c>
      <c r="B83" s="14" t="s">
        <v>57</v>
      </c>
      <c r="C83" s="15" t="s">
        <v>50</v>
      </c>
      <c r="D83" s="16" t="n">
        <v>3.3</v>
      </c>
      <c r="E83" s="17" t="n">
        <v>75</v>
      </c>
      <c r="F83" s="17" t="n">
        <v>12</v>
      </c>
      <c r="G83" s="18" t="n">
        <v>0.5</v>
      </c>
      <c r="H83" s="19" t="n">
        <v>16669</v>
      </c>
    </row>
    <row r="84" customFormat="false" ht="15" hidden="false" customHeight="false" outlineLevel="0" collapsed="false">
      <c r="A84" s="8" t="s">
        <v>60</v>
      </c>
      <c r="B84" s="8" t="s">
        <v>57</v>
      </c>
      <c r="C84" s="9" t="s">
        <v>51</v>
      </c>
      <c r="D84" s="10" t="n">
        <v>3.3</v>
      </c>
      <c r="E84" s="11" t="n">
        <v>40</v>
      </c>
      <c r="F84" s="11" t="n">
        <v>5</v>
      </c>
      <c r="G84" s="12" t="n">
        <v>0.51</v>
      </c>
      <c r="H84" s="13" t="n">
        <v>12968</v>
      </c>
    </row>
    <row r="85" customFormat="false" ht="15" hidden="false" customHeight="false" outlineLevel="0" collapsed="false">
      <c r="A85" s="14" t="s">
        <v>60</v>
      </c>
      <c r="B85" s="14" t="s">
        <v>57</v>
      </c>
      <c r="C85" s="15" t="s">
        <v>52</v>
      </c>
      <c r="D85" s="16" t="n">
        <v>3.3</v>
      </c>
      <c r="E85" s="17" t="n">
        <v>58</v>
      </c>
      <c r="F85" s="17" t="n">
        <v>11</v>
      </c>
      <c r="G85" s="18" t="n">
        <v>0.44</v>
      </c>
      <c r="H85" s="19" t="n">
        <v>23800</v>
      </c>
    </row>
    <row r="86" customFormat="false" ht="15" hidden="false" customHeight="false" outlineLevel="0" collapsed="false">
      <c r="A86" s="8" t="s">
        <v>60</v>
      </c>
      <c r="B86" s="8" t="s">
        <v>57</v>
      </c>
      <c r="C86" s="9" t="s">
        <v>53</v>
      </c>
      <c r="D86" s="10" t="n">
        <v>3.3</v>
      </c>
      <c r="E86" s="11" t="n">
        <v>169</v>
      </c>
      <c r="F86" s="11" t="n">
        <v>35</v>
      </c>
      <c r="G86" s="12" t="n">
        <v>0.4</v>
      </c>
      <c r="H86" s="13" t="n">
        <v>16914</v>
      </c>
    </row>
    <row r="87" customFormat="false" ht="15" hidden="false" customHeight="false" outlineLevel="0" collapsed="false">
      <c r="A87" s="14" t="s">
        <v>60</v>
      </c>
      <c r="B87" s="14" t="s">
        <v>58</v>
      </c>
      <c r="C87" s="15" t="s">
        <v>49</v>
      </c>
      <c r="D87" s="16" t="n">
        <v>3.3</v>
      </c>
      <c r="E87" s="17" t="n">
        <v>154</v>
      </c>
      <c r="F87" s="17" t="n">
        <v>57</v>
      </c>
      <c r="G87" s="18" t="n">
        <v>0.85</v>
      </c>
      <c r="H87" s="19" t="n">
        <v>15762</v>
      </c>
    </row>
    <row r="88" customFormat="false" ht="15" hidden="false" customHeight="false" outlineLevel="0" collapsed="false">
      <c r="A88" s="8" t="s">
        <v>60</v>
      </c>
      <c r="B88" s="8" t="s">
        <v>58</v>
      </c>
      <c r="C88" s="9" t="s">
        <v>50</v>
      </c>
      <c r="D88" s="10" t="n">
        <v>3.3</v>
      </c>
      <c r="E88" s="11" t="n">
        <v>107</v>
      </c>
      <c r="F88" s="11" t="n">
        <v>50</v>
      </c>
      <c r="G88" s="12" t="n">
        <v>0.66</v>
      </c>
      <c r="H88" s="13" t="n">
        <v>11034</v>
      </c>
    </row>
    <row r="89" customFormat="false" ht="15" hidden="false" customHeight="false" outlineLevel="0" collapsed="false">
      <c r="A89" s="14" t="s">
        <v>60</v>
      </c>
      <c r="B89" s="14" t="s">
        <v>58</v>
      </c>
      <c r="C89" s="15" t="s">
        <v>51</v>
      </c>
      <c r="D89" s="16" t="n">
        <v>3.3</v>
      </c>
      <c r="E89" s="17" t="n">
        <v>445</v>
      </c>
      <c r="F89" s="17" t="n">
        <v>254</v>
      </c>
      <c r="G89" s="18" t="n">
        <v>0.75</v>
      </c>
      <c r="H89" s="19" t="n">
        <v>10117</v>
      </c>
    </row>
    <row r="90" customFormat="false" ht="15" hidden="false" customHeight="false" outlineLevel="0" collapsed="false">
      <c r="A90" s="8" t="s">
        <v>60</v>
      </c>
      <c r="B90" s="8" t="s">
        <v>58</v>
      </c>
      <c r="C90" s="9" t="s">
        <v>52</v>
      </c>
      <c r="D90" s="10" t="n">
        <v>3.3</v>
      </c>
      <c r="E90" s="11" t="n">
        <v>155</v>
      </c>
      <c r="F90" s="11" t="n">
        <v>86</v>
      </c>
      <c r="G90" s="12" t="n">
        <v>0.74</v>
      </c>
      <c r="H90" s="13" t="n">
        <v>17734</v>
      </c>
    </row>
    <row r="91" customFormat="false" ht="15" hidden="false" customHeight="false" outlineLevel="0" collapsed="false">
      <c r="A91" s="14" t="s">
        <v>60</v>
      </c>
      <c r="B91" s="14" t="s">
        <v>58</v>
      </c>
      <c r="C91" s="15" t="s">
        <v>53</v>
      </c>
      <c r="D91" s="16" t="n">
        <v>3.3</v>
      </c>
      <c r="E91" s="17" t="n">
        <v>208</v>
      </c>
      <c r="F91" s="17" t="n">
        <v>75</v>
      </c>
      <c r="G91" s="18" t="n">
        <v>0.66</v>
      </c>
      <c r="H91" s="19" t="n">
        <v>12747</v>
      </c>
    </row>
    <row r="92" customFormat="false" ht="15" hidden="false" customHeight="false" outlineLevel="0" collapsed="false">
      <c r="A92" s="8" t="s">
        <v>61</v>
      </c>
      <c r="B92" s="8" t="s">
        <v>48</v>
      </c>
      <c r="C92" s="9" t="s">
        <v>49</v>
      </c>
      <c r="D92" s="10" t="n">
        <v>3.4</v>
      </c>
      <c r="E92" s="11" t="n">
        <v>94</v>
      </c>
      <c r="F92" s="11" t="n">
        <v>32</v>
      </c>
      <c r="G92" s="12" t="n">
        <v>0.82</v>
      </c>
      <c r="H92" s="13" t="n">
        <v>17183</v>
      </c>
    </row>
    <row r="93" customFormat="false" ht="15" hidden="false" customHeight="false" outlineLevel="0" collapsed="false">
      <c r="A93" s="14" t="s">
        <v>61</v>
      </c>
      <c r="B93" s="14" t="s">
        <v>48</v>
      </c>
      <c r="C93" s="15" t="s">
        <v>50</v>
      </c>
      <c r="D93" s="16" t="n">
        <v>3.4</v>
      </c>
      <c r="E93" s="17" t="n">
        <v>156</v>
      </c>
      <c r="F93" s="17" t="n">
        <v>74</v>
      </c>
      <c r="G93" s="18" t="n">
        <v>0.77</v>
      </c>
      <c r="H93" s="19" t="n">
        <v>12842</v>
      </c>
    </row>
    <row r="94" customFormat="false" ht="15" hidden="false" customHeight="false" outlineLevel="0" collapsed="false">
      <c r="A94" s="8" t="s">
        <v>61</v>
      </c>
      <c r="B94" s="8" t="s">
        <v>48</v>
      </c>
      <c r="C94" s="9" t="s">
        <v>51</v>
      </c>
      <c r="D94" s="10" t="n">
        <v>3.4</v>
      </c>
      <c r="E94" s="11" t="n">
        <v>145</v>
      </c>
      <c r="F94" s="11" t="n">
        <v>63</v>
      </c>
      <c r="G94" s="12" t="n">
        <v>0.81</v>
      </c>
      <c r="H94" s="13" t="n">
        <v>10532</v>
      </c>
    </row>
    <row r="95" customFormat="false" ht="15" hidden="false" customHeight="false" outlineLevel="0" collapsed="false">
      <c r="A95" s="14" t="s">
        <v>61</v>
      </c>
      <c r="B95" s="14" t="s">
        <v>48</v>
      </c>
      <c r="C95" s="15" t="s">
        <v>52</v>
      </c>
      <c r="D95" s="16" t="n">
        <v>3.4</v>
      </c>
      <c r="E95" s="17" t="n">
        <v>151</v>
      </c>
      <c r="F95" s="17" t="n">
        <v>97</v>
      </c>
      <c r="G95" s="18" t="n">
        <v>0.76</v>
      </c>
      <c r="H95" s="19" t="n">
        <v>16029</v>
      </c>
    </row>
    <row r="96" customFormat="false" ht="15" hidden="false" customHeight="false" outlineLevel="0" collapsed="false">
      <c r="A96" s="8" t="s">
        <v>61</v>
      </c>
      <c r="B96" s="8" t="s">
        <v>48</v>
      </c>
      <c r="C96" s="9" t="s">
        <v>53</v>
      </c>
      <c r="D96" s="10" t="n">
        <v>3.4</v>
      </c>
      <c r="E96" s="11" t="n">
        <v>442</v>
      </c>
      <c r="F96" s="11" t="n">
        <v>287</v>
      </c>
      <c r="G96" s="12" t="n">
        <v>0.85</v>
      </c>
      <c r="H96" s="13" t="n">
        <v>11739</v>
      </c>
    </row>
    <row r="97" customFormat="false" ht="15" hidden="false" customHeight="false" outlineLevel="0" collapsed="false">
      <c r="A97" s="14" t="s">
        <v>61</v>
      </c>
      <c r="B97" s="14" t="s">
        <v>54</v>
      </c>
      <c r="C97" s="15" t="s">
        <v>49</v>
      </c>
      <c r="D97" s="16" t="n">
        <v>3.4</v>
      </c>
      <c r="E97" s="17" t="n">
        <v>245</v>
      </c>
      <c r="F97" s="17" t="n">
        <v>55</v>
      </c>
      <c r="G97" s="18" t="n">
        <v>0.5</v>
      </c>
      <c r="H97" s="19" t="n">
        <v>28891</v>
      </c>
    </row>
    <row r="98" customFormat="false" ht="15" hidden="false" customHeight="false" outlineLevel="0" collapsed="false">
      <c r="A98" s="8" t="s">
        <v>61</v>
      </c>
      <c r="B98" s="8" t="s">
        <v>54</v>
      </c>
      <c r="C98" s="9" t="s">
        <v>50</v>
      </c>
      <c r="D98" s="10" t="n">
        <v>3.4</v>
      </c>
      <c r="E98" s="11" t="n">
        <v>59</v>
      </c>
      <c r="F98" s="11" t="n">
        <v>15</v>
      </c>
      <c r="G98" s="12" t="n">
        <v>0.43</v>
      </c>
      <c r="H98" s="13" t="n">
        <v>21846</v>
      </c>
    </row>
    <row r="99" customFormat="false" ht="15" hidden="false" customHeight="false" outlineLevel="0" collapsed="false">
      <c r="A99" s="14" t="s">
        <v>61</v>
      </c>
      <c r="B99" s="14" t="s">
        <v>54</v>
      </c>
      <c r="C99" s="15" t="s">
        <v>51</v>
      </c>
      <c r="D99" s="16" t="n">
        <v>3.4</v>
      </c>
      <c r="E99" s="17" t="n">
        <v>86</v>
      </c>
      <c r="F99" s="17" t="n">
        <v>27</v>
      </c>
      <c r="G99" s="18" t="n">
        <v>0.48</v>
      </c>
      <c r="H99" s="19" t="n">
        <v>19091</v>
      </c>
    </row>
    <row r="100" customFormat="false" ht="15" hidden="false" customHeight="false" outlineLevel="0" collapsed="false">
      <c r="A100" s="8" t="s">
        <v>61</v>
      </c>
      <c r="B100" s="8" t="s">
        <v>54</v>
      </c>
      <c r="C100" s="9" t="s">
        <v>52</v>
      </c>
      <c r="D100" s="10" t="n">
        <v>3.4</v>
      </c>
      <c r="E100" s="11" t="n">
        <v>55</v>
      </c>
      <c r="F100" s="11" t="n">
        <v>18</v>
      </c>
      <c r="G100" s="12" t="n">
        <v>0.41</v>
      </c>
      <c r="H100" s="13" t="n">
        <v>29942</v>
      </c>
    </row>
    <row r="101" customFormat="false" ht="15" hidden="false" customHeight="false" outlineLevel="0" collapsed="false">
      <c r="A101" s="14" t="s">
        <v>61</v>
      </c>
      <c r="B101" s="14" t="s">
        <v>54</v>
      </c>
      <c r="C101" s="15" t="s">
        <v>53</v>
      </c>
      <c r="D101" s="16" t="n">
        <v>3.4</v>
      </c>
      <c r="E101" s="17" t="n">
        <v>110</v>
      </c>
      <c r="F101" s="17" t="n">
        <v>35</v>
      </c>
      <c r="G101" s="18" t="n">
        <v>0.52</v>
      </c>
      <c r="H101" s="19" t="n">
        <v>21115</v>
      </c>
    </row>
    <row r="102" customFormat="false" ht="15" hidden="false" customHeight="false" outlineLevel="0" collapsed="false">
      <c r="A102" s="8" t="s">
        <v>61</v>
      </c>
      <c r="B102" s="8" t="s">
        <v>55</v>
      </c>
      <c r="C102" s="9" t="s">
        <v>49</v>
      </c>
      <c r="D102" s="10" t="n">
        <v>3.4</v>
      </c>
      <c r="E102" s="11" t="n">
        <v>131</v>
      </c>
      <c r="F102" s="11" t="n">
        <v>27</v>
      </c>
      <c r="G102" s="12" t="n">
        <v>0.66</v>
      </c>
      <c r="H102" s="13" t="n">
        <v>16664</v>
      </c>
    </row>
    <row r="103" customFormat="false" ht="15" hidden="false" customHeight="false" outlineLevel="0" collapsed="false">
      <c r="A103" s="14" t="s">
        <v>61</v>
      </c>
      <c r="B103" s="14" t="s">
        <v>55</v>
      </c>
      <c r="C103" s="15" t="s">
        <v>50</v>
      </c>
      <c r="D103" s="16" t="n">
        <v>3.4</v>
      </c>
      <c r="E103" s="17" t="n">
        <v>175</v>
      </c>
      <c r="F103" s="17" t="n">
        <v>94</v>
      </c>
      <c r="G103" s="18" t="n">
        <v>0.78</v>
      </c>
      <c r="H103" s="19" t="n">
        <v>13197</v>
      </c>
    </row>
    <row r="104" customFormat="false" ht="15" hidden="false" customHeight="false" outlineLevel="0" collapsed="false">
      <c r="A104" s="8" t="s">
        <v>61</v>
      </c>
      <c r="B104" s="8" t="s">
        <v>55</v>
      </c>
      <c r="C104" s="9" t="s">
        <v>51</v>
      </c>
      <c r="D104" s="10" t="n">
        <v>3.4</v>
      </c>
      <c r="E104" s="11" t="n">
        <v>160</v>
      </c>
      <c r="F104" s="11" t="n">
        <v>57</v>
      </c>
      <c r="G104" s="12" t="n">
        <v>0.78</v>
      </c>
      <c r="H104" s="13" t="n">
        <v>10528</v>
      </c>
    </row>
    <row r="105" customFormat="false" ht="15" hidden="false" customHeight="false" outlineLevel="0" collapsed="false">
      <c r="A105" s="14" t="s">
        <v>61</v>
      </c>
      <c r="B105" s="14" t="s">
        <v>55</v>
      </c>
      <c r="C105" s="15" t="s">
        <v>52</v>
      </c>
      <c r="D105" s="16" t="n">
        <v>3.4</v>
      </c>
      <c r="E105" s="17" t="n">
        <v>131</v>
      </c>
      <c r="F105" s="17" t="n">
        <v>57</v>
      </c>
      <c r="G105" s="18" t="n">
        <v>0.56</v>
      </c>
      <c r="H105" s="19" t="n">
        <v>19572</v>
      </c>
    </row>
    <row r="106" customFormat="false" ht="15" hidden="false" customHeight="false" outlineLevel="0" collapsed="false">
      <c r="A106" s="8" t="s">
        <v>61</v>
      </c>
      <c r="B106" s="8" t="s">
        <v>55</v>
      </c>
      <c r="C106" s="9" t="s">
        <v>53</v>
      </c>
      <c r="D106" s="10" t="n">
        <v>3.4</v>
      </c>
      <c r="E106" s="11" t="n">
        <v>268</v>
      </c>
      <c r="F106" s="11" t="n">
        <v>86</v>
      </c>
      <c r="G106" s="12" t="n">
        <v>0.65</v>
      </c>
      <c r="H106" s="13" t="n">
        <v>12787</v>
      </c>
    </row>
    <row r="107" customFormat="false" ht="15" hidden="false" customHeight="false" outlineLevel="0" collapsed="false">
      <c r="A107" s="14" t="s">
        <v>61</v>
      </c>
      <c r="B107" s="14" t="s">
        <v>56</v>
      </c>
      <c r="C107" s="15" t="s">
        <v>49</v>
      </c>
      <c r="D107" s="16" t="n">
        <v>3.4</v>
      </c>
      <c r="E107" s="17" t="n">
        <v>98</v>
      </c>
      <c r="F107" s="17" t="n">
        <v>41</v>
      </c>
      <c r="G107" s="18" t="n">
        <v>0.6</v>
      </c>
      <c r="H107" s="19" t="n">
        <v>18339</v>
      </c>
    </row>
    <row r="108" customFormat="false" ht="15" hidden="false" customHeight="false" outlineLevel="0" collapsed="false">
      <c r="A108" s="8" t="s">
        <v>61</v>
      </c>
      <c r="B108" s="8" t="s">
        <v>56</v>
      </c>
      <c r="C108" s="9" t="s">
        <v>50</v>
      </c>
      <c r="D108" s="10" t="n">
        <v>3.4</v>
      </c>
      <c r="E108" s="11" t="n">
        <v>146</v>
      </c>
      <c r="F108" s="11" t="n">
        <v>78</v>
      </c>
      <c r="G108" s="12" t="n">
        <v>0.7</v>
      </c>
      <c r="H108" s="13" t="n">
        <v>12917</v>
      </c>
    </row>
    <row r="109" customFormat="false" ht="15" hidden="false" customHeight="false" outlineLevel="0" collapsed="false">
      <c r="A109" s="14" t="s">
        <v>61</v>
      </c>
      <c r="B109" s="14" t="s">
        <v>56</v>
      </c>
      <c r="C109" s="15" t="s">
        <v>51</v>
      </c>
      <c r="D109" s="16" t="n">
        <v>3.4</v>
      </c>
      <c r="E109" s="17" t="n">
        <v>159</v>
      </c>
      <c r="F109" s="17" t="n">
        <v>79</v>
      </c>
      <c r="G109" s="18" t="n">
        <v>0.63</v>
      </c>
      <c r="H109" s="19" t="n">
        <v>12384</v>
      </c>
    </row>
    <row r="110" customFormat="false" ht="15" hidden="false" customHeight="false" outlineLevel="0" collapsed="false">
      <c r="A110" s="8" t="s">
        <v>61</v>
      </c>
      <c r="B110" s="8" t="s">
        <v>56</v>
      </c>
      <c r="C110" s="9" t="s">
        <v>52</v>
      </c>
      <c r="D110" s="10" t="n">
        <v>3.4</v>
      </c>
      <c r="E110" s="11" t="n">
        <v>157</v>
      </c>
      <c r="F110" s="11" t="n">
        <v>87</v>
      </c>
      <c r="G110" s="12" t="n">
        <v>0.68</v>
      </c>
      <c r="H110" s="13" t="n">
        <v>18387</v>
      </c>
    </row>
    <row r="111" customFormat="false" ht="15" hidden="false" customHeight="false" outlineLevel="0" collapsed="false">
      <c r="A111" s="14" t="s">
        <v>61</v>
      </c>
      <c r="B111" s="14" t="s">
        <v>56</v>
      </c>
      <c r="C111" s="15" t="s">
        <v>53</v>
      </c>
      <c r="D111" s="16" t="n">
        <v>3.4</v>
      </c>
      <c r="E111" s="17" t="n">
        <v>479</v>
      </c>
      <c r="F111" s="17" t="n">
        <v>230</v>
      </c>
      <c r="G111" s="18" t="n">
        <v>0.67</v>
      </c>
      <c r="H111" s="19" t="n">
        <v>14287</v>
      </c>
    </row>
    <row r="112" customFormat="false" ht="15" hidden="false" customHeight="false" outlineLevel="0" collapsed="false">
      <c r="A112" s="8" t="s">
        <v>61</v>
      </c>
      <c r="B112" s="8" t="s">
        <v>57</v>
      </c>
      <c r="C112" s="9" t="s">
        <v>49</v>
      </c>
      <c r="D112" s="10" t="n">
        <v>3.4</v>
      </c>
      <c r="E112" s="11" t="n">
        <v>80</v>
      </c>
      <c r="F112" s="11" t="n">
        <v>8</v>
      </c>
      <c r="G112" s="12" t="n">
        <v>0.51</v>
      </c>
      <c r="H112" s="13" t="n">
        <v>23904</v>
      </c>
    </row>
    <row r="113" customFormat="false" ht="15" hidden="false" customHeight="false" outlineLevel="0" collapsed="false">
      <c r="A113" s="14" t="s">
        <v>61</v>
      </c>
      <c r="B113" s="14" t="s">
        <v>57</v>
      </c>
      <c r="C113" s="15" t="s">
        <v>50</v>
      </c>
      <c r="D113" s="16" t="n">
        <v>3.4</v>
      </c>
      <c r="E113" s="17" t="n">
        <v>101</v>
      </c>
      <c r="F113" s="17" t="n">
        <v>20</v>
      </c>
      <c r="G113" s="18" t="n">
        <v>0.44</v>
      </c>
      <c r="H113" s="19" t="n">
        <v>17716</v>
      </c>
    </row>
    <row r="114" customFormat="false" ht="15" hidden="false" customHeight="false" outlineLevel="0" collapsed="false">
      <c r="A114" s="8" t="s">
        <v>61</v>
      </c>
      <c r="B114" s="8" t="s">
        <v>57</v>
      </c>
      <c r="C114" s="9" t="s">
        <v>51</v>
      </c>
      <c r="D114" s="10" t="n">
        <v>3.4</v>
      </c>
      <c r="E114" s="11" t="n">
        <v>53</v>
      </c>
      <c r="F114" s="11" t="n">
        <v>10</v>
      </c>
      <c r="G114" s="12" t="n">
        <v>0.44</v>
      </c>
      <c r="H114" s="13" t="n">
        <v>13568</v>
      </c>
    </row>
    <row r="115" customFormat="false" ht="15" hidden="false" customHeight="false" outlineLevel="0" collapsed="false">
      <c r="A115" s="14" t="s">
        <v>61</v>
      </c>
      <c r="B115" s="14" t="s">
        <v>57</v>
      </c>
      <c r="C115" s="15" t="s">
        <v>52</v>
      </c>
      <c r="D115" s="16" t="n">
        <v>3.4</v>
      </c>
      <c r="E115" s="17" t="n">
        <v>80</v>
      </c>
      <c r="F115" s="17" t="n">
        <v>15</v>
      </c>
      <c r="G115" s="18" t="n">
        <v>0.59</v>
      </c>
      <c r="H115" s="19" t="n">
        <v>22229</v>
      </c>
    </row>
    <row r="116" customFormat="false" ht="15" hidden="false" customHeight="false" outlineLevel="0" collapsed="false">
      <c r="A116" s="8" t="s">
        <v>61</v>
      </c>
      <c r="B116" s="8" t="s">
        <v>57</v>
      </c>
      <c r="C116" s="9" t="s">
        <v>53</v>
      </c>
      <c r="D116" s="10" t="n">
        <v>3.4</v>
      </c>
      <c r="E116" s="11" t="n">
        <v>199</v>
      </c>
      <c r="F116" s="11" t="n">
        <v>26</v>
      </c>
      <c r="G116" s="12" t="n">
        <v>0.41</v>
      </c>
      <c r="H116" s="13" t="n">
        <v>16989</v>
      </c>
    </row>
    <row r="117" customFormat="false" ht="15" hidden="false" customHeight="false" outlineLevel="0" collapsed="false">
      <c r="A117" s="14" t="s">
        <v>61</v>
      </c>
      <c r="B117" s="14" t="s">
        <v>58</v>
      </c>
      <c r="C117" s="15" t="s">
        <v>49</v>
      </c>
      <c r="D117" s="16" t="n">
        <v>3.4</v>
      </c>
      <c r="E117" s="17" t="n">
        <v>247</v>
      </c>
      <c r="F117" s="17" t="n">
        <v>54</v>
      </c>
      <c r="G117" s="18" t="n">
        <v>0.77</v>
      </c>
      <c r="H117" s="19" t="n">
        <v>14815</v>
      </c>
    </row>
    <row r="118" customFormat="false" ht="15" hidden="false" customHeight="false" outlineLevel="0" collapsed="false">
      <c r="A118" s="8" t="s">
        <v>61</v>
      </c>
      <c r="B118" s="8" t="s">
        <v>58</v>
      </c>
      <c r="C118" s="9" t="s">
        <v>50</v>
      </c>
      <c r="D118" s="10" t="n">
        <v>3.4</v>
      </c>
      <c r="E118" s="11" t="n">
        <v>154</v>
      </c>
      <c r="F118" s="11" t="n">
        <v>70</v>
      </c>
      <c r="G118" s="12" t="n">
        <v>0.72</v>
      </c>
      <c r="H118" s="13" t="n">
        <v>11921</v>
      </c>
    </row>
    <row r="119" customFormat="false" ht="15" hidden="false" customHeight="false" outlineLevel="0" collapsed="false">
      <c r="A119" s="14" t="s">
        <v>61</v>
      </c>
      <c r="B119" s="14" t="s">
        <v>58</v>
      </c>
      <c r="C119" s="15" t="s">
        <v>51</v>
      </c>
      <c r="D119" s="16" t="n">
        <v>3.4</v>
      </c>
      <c r="E119" s="17" t="n">
        <v>587</v>
      </c>
      <c r="F119" s="17" t="n">
        <v>342</v>
      </c>
      <c r="G119" s="18" t="n">
        <v>0.74</v>
      </c>
      <c r="H119" s="19" t="n">
        <v>9732</v>
      </c>
    </row>
    <row r="120" customFormat="false" ht="15" hidden="false" customHeight="false" outlineLevel="0" collapsed="false">
      <c r="A120" s="8" t="s">
        <v>61</v>
      </c>
      <c r="B120" s="8" t="s">
        <v>58</v>
      </c>
      <c r="C120" s="9" t="s">
        <v>52</v>
      </c>
      <c r="D120" s="10" t="n">
        <v>3.4</v>
      </c>
      <c r="E120" s="11" t="n">
        <v>244</v>
      </c>
      <c r="F120" s="11" t="n">
        <v>134</v>
      </c>
      <c r="G120" s="12" t="n">
        <v>0.65</v>
      </c>
      <c r="H120" s="13" t="n">
        <v>15599</v>
      </c>
    </row>
    <row r="121" customFormat="false" ht="15" hidden="false" customHeight="false" outlineLevel="0" collapsed="false">
      <c r="A121" s="14" t="s">
        <v>61</v>
      </c>
      <c r="B121" s="14" t="s">
        <v>58</v>
      </c>
      <c r="C121" s="15" t="s">
        <v>53</v>
      </c>
      <c r="D121" s="16" t="n">
        <v>3.4</v>
      </c>
      <c r="E121" s="17" t="n">
        <v>290</v>
      </c>
      <c r="F121" s="17" t="n">
        <v>147</v>
      </c>
      <c r="G121" s="18" t="n">
        <v>0.66</v>
      </c>
      <c r="H121" s="19" t="n">
        <v>12858</v>
      </c>
    </row>
    <row r="122" customFormat="false" ht="15" hidden="false" customHeight="false" outlineLevel="0" collapsed="false">
      <c r="A122" s="8" t="s">
        <v>62</v>
      </c>
      <c r="B122" s="8" t="s">
        <v>48</v>
      </c>
      <c r="C122" s="9" t="s">
        <v>49</v>
      </c>
      <c r="D122" s="10" t="n">
        <v>1.2</v>
      </c>
      <c r="E122" s="11" t="n">
        <v>19</v>
      </c>
      <c r="F122" s="11" t="n">
        <v>6</v>
      </c>
      <c r="G122" s="12" t="n">
        <v>0.82</v>
      </c>
      <c r="H122" s="13" t="n">
        <v>17470</v>
      </c>
    </row>
    <row r="123" customFormat="false" ht="15" hidden="false" customHeight="false" outlineLevel="0" collapsed="false">
      <c r="A123" s="14" t="s">
        <v>62</v>
      </c>
      <c r="B123" s="14" t="s">
        <v>48</v>
      </c>
      <c r="C123" s="15" t="s">
        <v>50</v>
      </c>
      <c r="D123" s="16" t="n">
        <v>1.2</v>
      </c>
      <c r="E123" s="17" t="n">
        <v>27</v>
      </c>
      <c r="F123" s="17" t="n">
        <v>11</v>
      </c>
      <c r="G123" s="18" t="n">
        <v>0.62</v>
      </c>
      <c r="H123" s="19" t="n">
        <v>11045</v>
      </c>
    </row>
    <row r="124" customFormat="false" ht="15" hidden="false" customHeight="false" outlineLevel="0" collapsed="false">
      <c r="A124" s="8" t="s">
        <v>62</v>
      </c>
      <c r="B124" s="8" t="s">
        <v>48</v>
      </c>
      <c r="C124" s="9" t="s">
        <v>51</v>
      </c>
      <c r="D124" s="10" t="n">
        <v>1.2</v>
      </c>
      <c r="E124" s="11" t="n">
        <v>27</v>
      </c>
      <c r="F124" s="11" t="n">
        <v>14</v>
      </c>
      <c r="G124" s="12" t="n">
        <v>0.75</v>
      </c>
      <c r="H124" s="13" t="n">
        <v>10591</v>
      </c>
    </row>
    <row r="125" customFormat="false" ht="15" hidden="false" customHeight="false" outlineLevel="0" collapsed="false">
      <c r="A125" s="14" t="s">
        <v>62</v>
      </c>
      <c r="B125" s="14" t="s">
        <v>48</v>
      </c>
      <c r="C125" s="15" t="s">
        <v>52</v>
      </c>
      <c r="D125" s="16" t="n">
        <v>1.2</v>
      </c>
      <c r="E125" s="17" t="n">
        <v>30</v>
      </c>
      <c r="F125" s="17" t="n">
        <v>13</v>
      </c>
      <c r="G125" s="18" t="n">
        <v>0.65</v>
      </c>
      <c r="H125" s="19" t="n">
        <v>17846</v>
      </c>
    </row>
    <row r="126" customFormat="false" ht="15" hidden="false" customHeight="false" outlineLevel="0" collapsed="false">
      <c r="A126" s="8" t="s">
        <v>62</v>
      </c>
      <c r="B126" s="8" t="s">
        <v>48</v>
      </c>
      <c r="C126" s="9" t="s">
        <v>53</v>
      </c>
      <c r="D126" s="10" t="n">
        <v>1.2</v>
      </c>
      <c r="E126" s="11" t="n">
        <v>90</v>
      </c>
      <c r="F126" s="11" t="n">
        <v>49</v>
      </c>
      <c r="G126" s="12" t="n">
        <v>0.8</v>
      </c>
      <c r="H126" s="13" t="n">
        <v>12046</v>
      </c>
    </row>
    <row r="127" customFormat="false" ht="15" hidden="false" customHeight="false" outlineLevel="0" collapsed="false">
      <c r="A127" s="14" t="s">
        <v>62</v>
      </c>
      <c r="B127" s="14" t="s">
        <v>54</v>
      </c>
      <c r="C127" s="15" t="s">
        <v>49</v>
      </c>
      <c r="D127" s="16" t="n">
        <v>1.2</v>
      </c>
      <c r="E127" s="17" t="n">
        <v>52</v>
      </c>
      <c r="F127" s="17" t="n">
        <v>10</v>
      </c>
      <c r="G127" s="18" t="n">
        <v>0.46</v>
      </c>
      <c r="H127" s="19" t="n">
        <v>26918</v>
      </c>
    </row>
    <row r="128" customFormat="false" ht="15" hidden="false" customHeight="false" outlineLevel="0" collapsed="false">
      <c r="A128" s="8" t="s">
        <v>62</v>
      </c>
      <c r="B128" s="8" t="s">
        <v>54</v>
      </c>
      <c r="C128" s="9" t="s">
        <v>50</v>
      </c>
      <c r="D128" s="10" t="n">
        <v>1.2</v>
      </c>
      <c r="E128" s="11" t="n">
        <v>15</v>
      </c>
      <c r="F128" s="11" t="n">
        <v>4</v>
      </c>
      <c r="G128" s="12" t="n">
        <v>0.43</v>
      </c>
      <c r="H128" s="13" t="n">
        <v>22659</v>
      </c>
    </row>
    <row r="129" customFormat="false" ht="15" hidden="false" customHeight="false" outlineLevel="0" collapsed="false">
      <c r="A129" s="14" t="s">
        <v>62</v>
      </c>
      <c r="B129" s="14" t="s">
        <v>54</v>
      </c>
      <c r="C129" s="15" t="s">
        <v>51</v>
      </c>
      <c r="D129" s="16" t="n">
        <v>1.2</v>
      </c>
      <c r="E129" s="17" t="n">
        <v>15</v>
      </c>
      <c r="F129" s="17" t="n">
        <v>5</v>
      </c>
      <c r="G129" s="18" t="n">
        <v>0.47</v>
      </c>
      <c r="H129" s="19" t="n">
        <v>18769</v>
      </c>
    </row>
    <row r="130" customFormat="false" ht="15" hidden="false" customHeight="false" outlineLevel="0" collapsed="false">
      <c r="A130" s="8" t="s">
        <v>62</v>
      </c>
      <c r="B130" s="8" t="s">
        <v>54</v>
      </c>
      <c r="C130" s="9" t="s">
        <v>52</v>
      </c>
      <c r="D130" s="10" t="n">
        <v>1.2</v>
      </c>
      <c r="E130" s="11" t="n">
        <v>15</v>
      </c>
      <c r="F130" s="11" t="n">
        <v>3</v>
      </c>
      <c r="G130" s="12" t="n">
        <v>0.51</v>
      </c>
      <c r="H130" s="13" t="n">
        <v>28275</v>
      </c>
    </row>
    <row r="131" customFormat="false" ht="15" hidden="false" customHeight="false" outlineLevel="0" collapsed="false">
      <c r="A131" s="14" t="s">
        <v>62</v>
      </c>
      <c r="B131" s="14" t="s">
        <v>54</v>
      </c>
      <c r="C131" s="15" t="s">
        <v>53</v>
      </c>
      <c r="D131" s="16" t="n">
        <v>1.2</v>
      </c>
      <c r="E131" s="17" t="n">
        <v>22</v>
      </c>
      <c r="F131" s="17" t="n">
        <v>4</v>
      </c>
      <c r="G131" s="18" t="n">
        <v>0.57</v>
      </c>
      <c r="H131" s="19" t="n">
        <v>22017</v>
      </c>
    </row>
    <row r="132" customFormat="false" ht="15" hidden="false" customHeight="false" outlineLevel="0" collapsed="false">
      <c r="A132" s="8" t="s">
        <v>62</v>
      </c>
      <c r="B132" s="8" t="s">
        <v>55</v>
      </c>
      <c r="C132" s="9" t="s">
        <v>49</v>
      </c>
      <c r="D132" s="10" t="n">
        <v>1.2</v>
      </c>
      <c r="E132" s="11" t="n">
        <v>20</v>
      </c>
      <c r="F132" s="11" t="n">
        <v>4</v>
      </c>
      <c r="G132" s="12" t="n">
        <v>0.57</v>
      </c>
      <c r="H132" s="13" t="n">
        <v>17469</v>
      </c>
    </row>
    <row r="133" customFormat="false" ht="15" hidden="false" customHeight="false" outlineLevel="0" collapsed="false">
      <c r="A133" s="14" t="s">
        <v>62</v>
      </c>
      <c r="B133" s="14" t="s">
        <v>55</v>
      </c>
      <c r="C133" s="15" t="s">
        <v>50</v>
      </c>
      <c r="D133" s="16" t="n">
        <v>1.2</v>
      </c>
      <c r="E133" s="17" t="n">
        <v>29</v>
      </c>
      <c r="F133" s="17" t="n">
        <v>10</v>
      </c>
      <c r="G133" s="18" t="n">
        <v>0.7</v>
      </c>
      <c r="H133" s="19" t="n">
        <v>12446</v>
      </c>
    </row>
    <row r="134" customFormat="false" ht="15" hidden="false" customHeight="false" outlineLevel="0" collapsed="false">
      <c r="A134" s="8" t="s">
        <v>62</v>
      </c>
      <c r="B134" s="8" t="s">
        <v>55</v>
      </c>
      <c r="C134" s="9" t="s">
        <v>51</v>
      </c>
      <c r="D134" s="10" t="n">
        <v>1.2</v>
      </c>
      <c r="E134" s="11" t="n">
        <v>28</v>
      </c>
      <c r="F134" s="11" t="n">
        <v>13</v>
      </c>
      <c r="G134" s="12" t="n">
        <v>0.72</v>
      </c>
      <c r="H134" s="13" t="n">
        <v>10873</v>
      </c>
    </row>
    <row r="135" customFormat="false" ht="15" hidden="false" customHeight="false" outlineLevel="0" collapsed="false">
      <c r="A135" s="14" t="s">
        <v>62</v>
      </c>
      <c r="B135" s="14" t="s">
        <v>55</v>
      </c>
      <c r="C135" s="15" t="s">
        <v>52</v>
      </c>
      <c r="D135" s="16" t="n">
        <v>1.2</v>
      </c>
      <c r="E135" s="17" t="n">
        <v>21</v>
      </c>
      <c r="F135" s="17" t="n">
        <v>10</v>
      </c>
      <c r="G135" s="18" t="n">
        <v>0.57</v>
      </c>
      <c r="H135" s="19" t="n">
        <v>17317</v>
      </c>
    </row>
    <row r="136" customFormat="false" ht="15" hidden="false" customHeight="false" outlineLevel="0" collapsed="false">
      <c r="A136" s="8" t="s">
        <v>62</v>
      </c>
      <c r="B136" s="8" t="s">
        <v>55</v>
      </c>
      <c r="C136" s="9" t="s">
        <v>53</v>
      </c>
      <c r="D136" s="10" t="n">
        <v>1.2</v>
      </c>
      <c r="E136" s="11" t="n">
        <v>45</v>
      </c>
      <c r="F136" s="11" t="n">
        <v>17</v>
      </c>
      <c r="G136" s="12" t="n">
        <v>0.77</v>
      </c>
      <c r="H136" s="13" t="n">
        <v>13547</v>
      </c>
    </row>
    <row r="137" customFormat="false" ht="15" hidden="false" customHeight="false" outlineLevel="0" collapsed="false">
      <c r="A137" s="14" t="s">
        <v>62</v>
      </c>
      <c r="B137" s="14" t="s">
        <v>56</v>
      </c>
      <c r="C137" s="15" t="s">
        <v>49</v>
      </c>
      <c r="D137" s="16" t="n">
        <v>1.2</v>
      </c>
      <c r="E137" s="17" t="n">
        <v>20</v>
      </c>
      <c r="F137" s="17" t="n">
        <v>8</v>
      </c>
      <c r="G137" s="18" t="n">
        <v>0.58</v>
      </c>
      <c r="H137" s="19" t="n">
        <v>19635</v>
      </c>
    </row>
    <row r="138" customFormat="false" ht="15" hidden="false" customHeight="false" outlineLevel="0" collapsed="false">
      <c r="A138" s="8" t="s">
        <v>62</v>
      </c>
      <c r="B138" s="8" t="s">
        <v>56</v>
      </c>
      <c r="C138" s="9" t="s">
        <v>50</v>
      </c>
      <c r="D138" s="10" t="n">
        <v>1.2</v>
      </c>
      <c r="E138" s="11" t="n">
        <v>27</v>
      </c>
      <c r="F138" s="11" t="n">
        <v>18</v>
      </c>
      <c r="G138" s="12" t="n">
        <v>0.71</v>
      </c>
      <c r="H138" s="13" t="n">
        <v>14210</v>
      </c>
    </row>
    <row r="139" customFormat="false" ht="15" hidden="false" customHeight="false" outlineLevel="0" collapsed="false">
      <c r="A139" s="14" t="s">
        <v>62</v>
      </c>
      <c r="B139" s="14" t="s">
        <v>56</v>
      </c>
      <c r="C139" s="15" t="s">
        <v>51</v>
      </c>
      <c r="D139" s="16" t="n">
        <v>1.2</v>
      </c>
      <c r="E139" s="17" t="n">
        <v>30</v>
      </c>
      <c r="F139" s="17" t="n">
        <v>16</v>
      </c>
      <c r="G139" s="18" t="n">
        <v>0.66</v>
      </c>
      <c r="H139" s="19" t="n">
        <v>11237</v>
      </c>
    </row>
    <row r="140" customFormat="false" ht="15" hidden="false" customHeight="false" outlineLevel="0" collapsed="false">
      <c r="A140" s="8" t="s">
        <v>62</v>
      </c>
      <c r="B140" s="8" t="s">
        <v>56</v>
      </c>
      <c r="C140" s="9" t="s">
        <v>52</v>
      </c>
      <c r="D140" s="10" t="n">
        <v>1.2</v>
      </c>
      <c r="E140" s="11" t="n">
        <v>29</v>
      </c>
      <c r="F140" s="11" t="n">
        <v>15</v>
      </c>
      <c r="G140" s="12" t="n">
        <v>0.76</v>
      </c>
      <c r="H140" s="13" t="n">
        <v>20584</v>
      </c>
    </row>
    <row r="141" customFormat="false" ht="15" hidden="false" customHeight="false" outlineLevel="0" collapsed="false">
      <c r="A141" s="14" t="s">
        <v>62</v>
      </c>
      <c r="B141" s="14" t="s">
        <v>56</v>
      </c>
      <c r="C141" s="15" t="s">
        <v>53</v>
      </c>
      <c r="D141" s="16" t="n">
        <v>1.2</v>
      </c>
      <c r="E141" s="17" t="n">
        <v>81</v>
      </c>
      <c r="F141" s="17" t="n">
        <v>50</v>
      </c>
      <c r="G141" s="18" t="n">
        <v>0.71</v>
      </c>
      <c r="H141" s="19" t="n">
        <v>13272</v>
      </c>
    </row>
    <row r="142" customFormat="false" ht="15" hidden="false" customHeight="false" outlineLevel="0" collapsed="false">
      <c r="A142" s="8" t="s">
        <v>62</v>
      </c>
      <c r="B142" s="8" t="s">
        <v>57</v>
      </c>
      <c r="C142" s="9" t="s">
        <v>49</v>
      </c>
      <c r="D142" s="10" t="n">
        <v>1.2</v>
      </c>
      <c r="E142" s="11" t="n">
        <v>15</v>
      </c>
      <c r="F142" s="11" t="n">
        <v>3</v>
      </c>
      <c r="G142" s="12" t="n">
        <v>0.53</v>
      </c>
      <c r="H142" s="13" t="n">
        <v>23209</v>
      </c>
    </row>
    <row r="143" customFormat="false" ht="15" hidden="false" customHeight="false" outlineLevel="0" collapsed="false">
      <c r="A143" s="14" t="s">
        <v>62</v>
      </c>
      <c r="B143" s="14" t="s">
        <v>57</v>
      </c>
      <c r="C143" s="15" t="s">
        <v>50</v>
      </c>
      <c r="D143" s="16" t="n">
        <v>1.2</v>
      </c>
      <c r="E143" s="17" t="n">
        <v>17</v>
      </c>
      <c r="F143" s="17" t="n">
        <v>3</v>
      </c>
      <c r="G143" s="18" t="n">
        <v>0.47</v>
      </c>
      <c r="H143" s="19" t="n">
        <v>17752</v>
      </c>
    </row>
    <row r="144" customFormat="false" ht="15" hidden="false" customHeight="false" outlineLevel="0" collapsed="false">
      <c r="A144" s="8" t="s">
        <v>62</v>
      </c>
      <c r="B144" s="8" t="s">
        <v>57</v>
      </c>
      <c r="C144" s="9" t="s">
        <v>51</v>
      </c>
      <c r="D144" s="10" t="n">
        <v>1.2</v>
      </c>
      <c r="E144" s="11" t="n">
        <v>15</v>
      </c>
      <c r="F144" s="11" t="n">
        <v>3</v>
      </c>
      <c r="G144" s="12" t="n">
        <v>0.58</v>
      </c>
      <c r="H144" s="13" t="n">
        <v>15094</v>
      </c>
    </row>
    <row r="145" customFormat="false" ht="15" hidden="false" customHeight="false" outlineLevel="0" collapsed="false">
      <c r="A145" s="14" t="s">
        <v>62</v>
      </c>
      <c r="B145" s="14" t="s">
        <v>57</v>
      </c>
      <c r="C145" s="15" t="s">
        <v>52</v>
      </c>
      <c r="D145" s="16" t="n">
        <v>1.2</v>
      </c>
      <c r="E145" s="17" t="n">
        <v>15</v>
      </c>
      <c r="F145" s="17" t="n">
        <v>3</v>
      </c>
      <c r="G145" s="18" t="n">
        <v>0.45</v>
      </c>
      <c r="H145" s="19" t="n">
        <v>22881</v>
      </c>
    </row>
    <row r="146" customFormat="false" ht="15" hidden="false" customHeight="false" outlineLevel="0" collapsed="false">
      <c r="A146" s="8" t="s">
        <v>62</v>
      </c>
      <c r="B146" s="8" t="s">
        <v>57</v>
      </c>
      <c r="C146" s="9" t="s">
        <v>53</v>
      </c>
      <c r="D146" s="10" t="n">
        <v>1.2</v>
      </c>
      <c r="E146" s="11" t="n">
        <v>37</v>
      </c>
      <c r="F146" s="11" t="n">
        <v>7</v>
      </c>
      <c r="G146" s="12" t="n">
        <v>0.58</v>
      </c>
      <c r="H146" s="13" t="n">
        <v>16689</v>
      </c>
    </row>
    <row r="147" customFormat="false" ht="15" hidden="false" customHeight="false" outlineLevel="0" collapsed="false">
      <c r="A147" s="14" t="s">
        <v>62</v>
      </c>
      <c r="B147" s="14" t="s">
        <v>58</v>
      </c>
      <c r="C147" s="15" t="s">
        <v>49</v>
      </c>
      <c r="D147" s="16" t="n">
        <v>1.2</v>
      </c>
      <c r="E147" s="17" t="n">
        <v>39</v>
      </c>
      <c r="F147" s="17" t="n">
        <v>12</v>
      </c>
      <c r="G147" s="18" t="n">
        <v>0.71</v>
      </c>
      <c r="H147" s="19" t="n">
        <v>16098</v>
      </c>
    </row>
    <row r="148" customFormat="false" ht="15" hidden="false" customHeight="false" outlineLevel="0" collapsed="false">
      <c r="A148" s="8" t="s">
        <v>62</v>
      </c>
      <c r="B148" s="8" t="s">
        <v>58</v>
      </c>
      <c r="C148" s="9" t="s">
        <v>50</v>
      </c>
      <c r="D148" s="10" t="n">
        <v>1.2</v>
      </c>
      <c r="E148" s="11" t="n">
        <v>24</v>
      </c>
      <c r="F148" s="11" t="n">
        <v>8</v>
      </c>
      <c r="G148" s="12" t="n">
        <v>0.81</v>
      </c>
      <c r="H148" s="13" t="n">
        <v>10914</v>
      </c>
    </row>
    <row r="149" customFormat="false" ht="15" hidden="false" customHeight="false" outlineLevel="0" collapsed="false">
      <c r="A149" s="14" t="s">
        <v>62</v>
      </c>
      <c r="B149" s="14" t="s">
        <v>58</v>
      </c>
      <c r="C149" s="15" t="s">
        <v>51</v>
      </c>
      <c r="D149" s="16" t="n">
        <v>1.2</v>
      </c>
      <c r="E149" s="17" t="n">
        <v>96</v>
      </c>
      <c r="F149" s="17" t="n">
        <v>54</v>
      </c>
      <c r="G149" s="18" t="n">
        <v>0.81</v>
      </c>
      <c r="H149" s="19" t="n">
        <v>9128</v>
      </c>
    </row>
    <row r="150" customFormat="false" ht="15" hidden="false" customHeight="false" outlineLevel="0" collapsed="false">
      <c r="A150" s="8" t="s">
        <v>62</v>
      </c>
      <c r="B150" s="8" t="s">
        <v>58</v>
      </c>
      <c r="C150" s="9" t="s">
        <v>52</v>
      </c>
      <c r="D150" s="10" t="n">
        <v>1.2</v>
      </c>
      <c r="E150" s="11" t="n">
        <v>39</v>
      </c>
      <c r="F150" s="11" t="n">
        <v>16</v>
      </c>
      <c r="G150" s="12" t="n">
        <v>0.72</v>
      </c>
      <c r="H150" s="13" t="n">
        <v>16969</v>
      </c>
    </row>
    <row r="151" customFormat="false" ht="15" hidden="false" customHeight="false" outlineLevel="0" collapsed="false">
      <c r="A151" s="14" t="s">
        <v>62</v>
      </c>
      <c r="B151" s="14" t="s">
        <v>58</v>
      </c>
      <c r="C151" s="15" t="s">
        <v>53</v>
      </c>
      <c r="D151" s="16" t="n">
        <v>1.2</v>
      </c>
      <c r="E151" s="17" t="n">
        <v>49</v>
      </c>
      <c r="F151" s="17" t="n">
        <v>26</v>
      </c>
      <c r="G151" s="18" t="n">
        <v>0.84</v>
      </c>
      <c r="H151" s="19" t="n">
        <v>11630</v>
      </c>
    </row>
    <row r="152" customFormat="false" ht="15" hidden="false" customHeight="false" outlineLevel="0" collapsed="false">
      <c r="A152" s="8" t="s">
        <v>63</v>
      </c>
      <c r="B152" s="8" t="s">
        <v>48</v>
      </c>
      <c r="C152" s="9" t="s">
        <v>49</v>
      </c>
      <c r="D152" s="10" t="n">
        <v>2.2</v>
      </c>
      <c r="E152" s="11" t="n">
        <v>42</v>
      </c>
      <c r="F152" s="11" t="n">
        <v>13</v>
      </c>
      <c r="G152" s="12" t="n">
        <v>0.74</v>
      </c>
      <c r="H152" s="13" t="n">
        <v>16312</v>
      </c>
    </row>
    <row r="153" customFormat="false" ht="15" hidden="false" customHeight="false" outlineLevel="0" collapsed="false">
      <c r="A153" s="14" t="s">
        <v>63</v>
      </c>
      <c r="B153" s="14" t="s">
        <v>48</v>
      </c>
      <c r="C153" s="15" t="s">
        <v>50</v>
      </c>
      <c r="D153" s="16" t="n">
        <v>2.2</v>
      </c>
      <c r="E153" s="17" t="n">
        <v>69</v>
      </c>
      <c r="F153" s="17" t="n">
        <v>39</v>
      </c>
      <c r="G153" s="18" t="n">
        <v>0.8</v>
      </c>
      <c r="H153" s="19" t="n">
        <v>11781</v>
      </c>
    </row>
    <row r="154" customFormat="false" ht="15" hidden="false" customHeight="false" outlineLevel="0" collapsed="false">
      <c r="A154" s="8" t="s">
        <v>63</v>
      </c>
      <c r="B154" s="8" t="s">
        <v>48</v>
      </c>
      <c r="C154" s="9" t="s">
        <v>51</v>
      </c>
      <c r="D154" s="10" t="n">
        <v>2.2</v>
      </c>
      <c r="E154" s="11" t="n">
        <v>66</v>
      </c>
      <c r="F154" s="11" t="n">
        <v>31</v>
      </c>
      <c r="G154" s="12" t="n">
        <v>0.65</v>
      </c>
      <c r="H154" s="13" t="n">
        <v>10522</v>
      </c>
    </row>
    <row r="155" customFormat="false" ht="15" hidden="false" customHeight="false" outlineLevel="0" collapsed="false">
      <c r="A155" s="14" t="s">
        <v>63</v>
      </c>
      <c r="B155" s="14" t="s">
        <v>48</v>
      </c>
      <c r="C155" s="15" t="s">
        <v>52</v>
      </c>
      <c r="D155" s="16" t="n">
        <v>2.2</v>
      </c>
      <c r="E155" s="17" t="n">
        <v>67</v>
      </c>
      <c r="F155" s="17" t="n">
        <v>30</v>
      </c>
      <c r="G155" s="18" t="n">
        <v>0.79</v>
      </c>
      <c r="H155" s="19" t="n">
        <v>16129</v>
      </c>
    </row>
    <row r="156" customFormat="false" ht="15" hidden="false" customHeight="false" outlineLevel="0" collapsed="false">
      <c r="A156" s="8" t="s">
        <v>63</v>
      </c>
      <c r="B156" s="8" t="s">
        <v>48</v>
      </c>
      <c r="C156" s="9" t="s">
        <v>53</v>
      </c>
      <c r="D156" s="10" t="n">
        <v>2.2</v>
      </c>
      <c r="E156" s="11" t="n">
        <v>195</v>
      </c>
      <c r="F156" s="11" t="n">
        <v>106</v>
      </c>
      <c r="G156" s="12" t="n">
        <v>0.85</v>
      </c>
      <c r="H156" s="13" t="n">
        <v>12579</v>
      </c>
    </row>
    <row r="157" customFormat="false" ht="15" hidden="false" customHeight="false" outlineLevel="0" collapsed="false">
      <c r="A157" s="14" t="s">
        <v>63</v>
      </c>
      <c r="B157" s="14" t="s">
        <v>54</v>
      </c>
      <c r="C157" s="15" t="s">
        <v>49</v>
      </c>
      <c r="D157" s="16" t="n">
        <v>2.2</v>
      </c>
      <c r="E157" s="17" t="n">
        <v>116</v>
      </c>
      <c r="F157" s="17" t="n">
        <v>21</v>
      </c>
      <c r="G157" s="18" t="n">
        <v>0.6</v>
      </c>
      <c r="H157" s="19" t="n">
        <v>27187</v>
      </c>
    </row>
    <row r="158" customFormat="false" ht="15" hidden="false" customHeight="false" outlineLevel="0" collapsed="false">
      <c r="A158" s="8" t="s">
        <v>63</v>
      </c>
      <c r="B158" s="8" t="s">
        <v>54</v>
      </c>
      <c r="C158" s="9" t="s">
        <v>50</v>
      </c>
      <c r="D158" s="10" t="n">
        <v>2.2</v>
      </c>
      <c r="E158" s="11" t="n">
        <v>25</v>
      </c>
      <c r="F158" s="11" t="n">
        <v>9</v>
      </c>
      <c r="G158" s="12" t="n">
        <v>0.48</v>
      </c>
      <c r="H158" s="13" t="n">
        <v>22077</v>
      </c>
    </row>
    <row r="159" customFormat="false" ht="15" hidden="false" customHeight="false" outlineLevel="0" collapsed="false">
      <c r="A159" s="14" t="s">
        <v>63</v>
      </c>
      <c r="B159" s="14" t="s">
        <v>54</v>
      </c>
      <c r="C159" s="15" t="s">
        <v>51</v>
      </c>
      <c r="D159" s="16" t="n">
        <v>2.2</v>
      </c>
      <c r="E159" s="17" t="n">
        <v>39</v>
      </c>
      <c r="F159" s="17" t="n">
        <v>10</v>
      </c>
      <c r="G159" s="18" t="n">
        <v>0.58</v>
      </c>
      <c r="H159" s="19" t="n">
        <v>17873</v>
      </c>
    </row>
    <row r="160" customFormat="false" ht="15" hidden="false" customHeight="false" outlineLevel="0" collapsed="false">
      <c r="A160" s="8" t="s">
        <v>63</v>
      </c>
      <c r="B160" s="8" t="s">
        <v>54</v>
      </c>
      <c r="C160" s="9" t="s">
        <v>52</v>
      </c>
      <c r="D160" s="10" t="n">
        <v>2.2</v>
      </c>
      <c r="E160" s="11" t="n">
        <v>27</v>
      </c>
      <c r="F160" s="11" t="n">
        <v>10</v>
      </c>
      <c r="G160" s="12" t="n">
        <v>0.42</v>
      </c>
      <c r="H160" s="13" t="n">
        <v>31862</v>
      </c>
    </row>
    <row r="161" customFormat="false" ht="15" hidden="false" customHeight="false" outlineLevel="0" collapsed="false">
      <c r="A161" s="14" t="s">
        <v>63</v>
      </c>
      <c r="B161" s="14" t="s">
        <v>54</v>
      </c>
      <c r="C161" s="15" t="s">
        <v>53</v>
      </c>
      <c r="D161" s="16" t="n">
        <v>2.2</v>
      </c>
      <c r="E161" s="17" t="n">
        <v>48</v>
      </c>
      <c r="F161" s="17" t="n">
        <v>17</v>
      </c>
      <c r="G161" s="18" t="n">
        <v>0.47</v>
      </c>
      <c r="H161" s="19" t="n">
        <v>22814</v>
      </c>
    </row>
    <row r="162" customFormat="false" ht="15" hidden="false" customHeight="false" outlineLevel="0" collapsed="false">
      <c r="A162" s="8" t="s">
        <v>63</v>
      </c>
      <c r="B162" s="8" t="s">
        <v>55</v>
      </c>
      <c r="C162" s="9" t="s">
        <v>49</v>
      </c>
      <c r="D162" s="10" t="n">
        <v>2.2</v>
      </c>
      <c r="E162" s="11" t="n">
        <v>52</v>
      </c>
      <c r="F162" s="11" t="n">
        <v>15</v>
      </c>
      <c r="G162" s="12" t="n">
        <v>0.57</v>
      </c>
      <c r="H162" s="13" t="n">
        <v>16464</v>
      </c>
    </row>
    <row r="163" customFormat="false" ht="15" hidden="false" customHeight="false" outlineLevel="0" collapsed="false">
      <c r="A163" s="14" t="s">
        <v>63</v>
      </c>
      <c r="B163" s="14" t="s">
        <v>55</v>
      </c>
      <c r="C163" s="15" t="s">
        <v>50</v>
      </c>
      <c r="D163" s="16" t="n">
        <v>2.2</v>
      </c>
      <c r="E163" s="17" t="n">
        <v>70</v>
      </c>
      <c r="F163" s="17" t="n">
        <v>28</v>
      </c>
      <c r="G163" s="18" t="n">
        <v>0.63</v>
      </c>
      <c r="H163" s="19" t="n">
        <v>12146</v>
      </c>
    </row>
    <row r="164" customFormat="false" ht="15" hidden="false" customHeight="false" outlineLevel="0" collapsed="false">
      <c r="A164" s="8" t="s">
        <v>63</v>
      </c>
      <c r="B164" s="8" t="s">
        <v>55</v>
      </c>
      <c r="C164" s="9" t="s">
        <v>51</v>
      </c>
      <c r="D164" s="10" t="n">
        <v>2.2</v>
      </c>
      <c r="E164" s="11" t="n">
        <v>67</v>
      </c>
      <c r="F164" s="11" t="n">
        <v>31</v>
      </c>
      <c r="G164" s="12" t="n">
        <v>0.76</v>
      </c>
      <c r="H164" s="13" t="n">
        <v>10335</v>
      </c>
    </row>
    <row r="165" customFormat="false" ht="15" hidden="false" customHeight="false" outlineLevel="0" collapsed="false">
      <c r="A165" s="14" t="s">
        <v>63</v>
      </c>
      <c r="B165" s="14" t="s">
        <v>55</v>
      </c>
      <c r="C165" s="15" t="s">
        <v>52</v>
      </c>
      <c r="D165" s="16" t="n">
        <v>2.2</v>
      </c>
      <c r="E165" s="17" t="n">
        <v>53</v>
      </c>
      <c r="F165" s="17" t="n">
        <v>19</v>
      </c>
      <c r="G165" s="18" t="n">
        <v>0.79</v>
      </c>
      <c r="H165" s="19" t="n">
        <v>19034</v>
      </c>
    </row>
    <row r="166" customFormat="false" ht="15" hidden="false" customHeight="false" outlineLevel="0" collapsed="false">
      <c r="A166" s="8" t="s">
        <v>63</v>
      </c>
      <c r="B166" s="8" t="s">
        <v>55</v>
      </c>
      <c r="C166" s="9" t="s">
        <v>53</v>
      </c>
      <c r="D166" s="10" t="n">
        <v>2.2</v>
      </c>
      <c r="E166" s="11" t="n">
        <v>103</v>
      </c>
      <c r="F166" s="11" t="n">
        <v>47</v>
      </c>
      <c r="G166" s="12" t="n">
        <v>0.78</v>
      </c>
      <c r="H166" s="13" t="n">
        <v>12456</v>
      </c>
    </row>
    <row r="167" customFormat="false" ht="15" hidden="false" customHeight="false" outlineLevel="0" collapsed="false">
      <c r="A167" s="14" t="s">
        <v>63</v>
      </c>
      <c r="B167" s="14" t="s">
        <v>56</v>
      </c>
      <c r="C167" s="15" t="s">
        <v>49</v>
      </c>
      <c r="D167" s="16" t="n">
        <v>2.2</v>
      </c>
      <c r="E167" s="17" t="n">
        <v>40</v>
      </c>
      <c r="F167" s="17" t="n">
        <v>15</v>
      </c>
      <c r="G167" s="18" t="n">
        <v>0.78</v>
      </c>
      <c r="H167" s="19" t="n">
        <v>19064</v>
      </c>
    </row>
    <row r="168" customFormat="false" ht="15" hidden="false" customHeight="false" outlineLevel="0" collapsed="false">
      <c r="A168" s="8" t="s">
        <v>63</v>
      </c>
      <c r="B168" s="8" t="s">
        <v>56</v>
      </c>
      <c r="C168" s="9" t="s">
        <v>50</v>
      </c>
      <c r="D168" s="10" t="n">
        <v>2.2</v>
      </c>
      <c r="E168" s="11" t="n">
        <v>55</v>
      </c>
      <c r="F168" s="11" t="n">
        <v>27</v>
      </c>
      <c r="G168" s="12" t="n">
        <v>0.63</v>
      </c>
      <c r="H168" s="13" t="n">
        <v>14037</v>
      </c>
    </row>
    <row r="169" customFormat="false" ht="15" hidden="false" customHeight="false" outlineLevel="0" collapsed="false">
      <c r="A169" s="14" t="s">
        <v>63</v>
      </c>
      <c r="B169" s="14" t="s">
        <v>56</v>
      </c>
      <c r="C169" s="15" t="s">
        <v>51</v>
      </c>
      <c r="D169" s="16" t="n">
        <v>2.2</v>
      </c>
      <c r="E169" s="17" t="n">
        <v>60</v>
      </c>
      <c r="F169" s="17" t="n">
        <v>36</v>
      </c>
      <c r="G169" s="18" t="n">
        <v>0.78</v>
      </c>
      <c r="H169" s="19" t="n">
        <v>11337</v>
      </c>
    </row>
    <row r="170" customFormat="false" ht="15" hidden="false" customHeight="false" outlineLevel="0" collapsed="false">
      <c r="A170" s="8" t="s">
        <v>63</v>
      </c>
      <c r="B170" s="8" t="s">
        <v>56</v>
      </c>
      <c r="C170" s="9" t="s">
        <v>52</v>
      </c>
      <c r="D170" s="10" t="n">
        <v>2.2</v>
      </c>
      <c r="E170" s="11" t="n">
        <v>59</v>
      </c>
      <c r="F170" s="11" t="n">
        <v>36</v>
      </c>
      <c r="G170" s="12" t="n">
        <v>0.78</v>
      </c>
      <c r="H170" s="13" t="n">
        <v>20598</v>
      </c>
    </row>
    <row r="171" customFormat="false" ht="15" hidden="false" customHeight="false" outlineLevel="0" collapsed="false">
      <c r="A171" s="14" t="s">
        <v>63</v>
      </c>
      <c r="B171" s="14" t="s">
        <v>56</v>
      </c>
      <c r="C171" s="15" t="s">
        <v>53</v>
      </c>
      <c r="D171" s="16" t="n">
        <v>2.2</v>
      </c>
      <c r="E171" s="17" t="n">
        <v>180</v>
      </c>
      <c r="F171" s="17" t="n">
        <v>94</v>
      </c>
      <c r="G171" s="18" t="n">
        <v>0.61</v>
      </c>
      <c r="H171" s="19" t="n">
        <v>14644</v>
      </c>
    </row>
    <row r="172" customFormat="false" ht="15" hidden="false" customHeight="false" outlineLevel="0" collapsed="false">
      <c r="A172" s="8" t="s">
        <v>63</v>
      </c>
      <c r="B172" s="8" t="s">
        <v>57</v>
      </c>
      <c r="C172" s="9" t="s">
        <v>49</v>
      </c>
      <c r="D172" s="10" t="n">
        <v>2.2</v>
      </c>
      <c r="E172" s="11" t="n">
        <v>32</v>
      </c>
      <c r="F172" s="11" t="n">
        <v>3</v>
      </c>
      <c r="G172" s="12" t="n">
        <v>0.56</v>
      </c>
      <c r="H172" s="13" t="n">
        <v>23201</v>
      </c>
    </row>
    <row r="173" customFormat="false" ht="15" hidden="false" customHeight="false" outlineLevel="0" collapsed="false">
      <c r="A173" s="14" t="s">
        <v>63</v>
      </c>
      <c r="B173" s="14" t="s">
        <v>57</v>
      </c>
      <c r="C173" s="15" t="s">
        <v>50</v>
      </c>
      <c r="D173" s="16" t="n">
        <v>2.2</v>
      </c>
      <c r="E173" s="17" t="n">
        <v>44</v>
      </c>
      <c r="F173" s="17" t="n">
        <v>7</v>
      </c>
      <c r="G173" s="18" t="n">
        <v>0.65</v>
      </c>
      <c r="H173" s="19" t="n">
        <v>17590</v>
      </c>
    </row>
    <row r="174" customFormat="false" ht="15" hidden="false" customHeight="false" outlineLevel="0" collapsed="false">
      <c r="A174" s="8" t="s">
        <v>63</v>
      </c>
      <c r="B174" s="8" t="s">
        <v>57</v>
      </c>
      <c r="C174" s="9" t="s">
        <v>51</v>
      </c>
      <c r="D174" s="10" t="n">
        <v>2.2</v>
      </c>
      <c r="E174" s="11" t="n">
        <v>20</v>
      </c>
      <c r="F174" s="11" t="n">
        <v>4</v>
      </c>
      <c r="G174" s="12" t="n">
        <v>0.51</v>
      </c>
      <c r="H174" s="13" t="n">
        <v>14469</v>
      </c>
    </row>
    <row r="175" customFormat="false" ht="15" hidden="false" customHeight="false" outlineLevel="0" collapsed="false">
      <c r="A175" s="14" t="s">
        <v>63</v>
      </c>
      <c r="B175" s="14" t="s">
        <v>57</v>
      </c>
      <c r="C175" s="15" t="s">
        <v>52</v>
      </c>
      <c r="D175" s="16" t="n">
        <v>2.2</v>
      </c>
      <c r="E175" s="17" t="n">
        <v>30</v>
      </c>
      <c r="F175" s="17" t="n">
        <v>7</v>
      </c>
      <c r="G175" s="18" t="n">
        <v>0.46</v>
      </c>
      <c r="H175" s="19" t="n">
        <v>22617</v>
      </c>
    </row>
    <row r="176" customFormat="false" ht="15" hidden="false" customHeight="false" outlineLevel="0" collapsed="false">
      <c r="A176" s="8" t="s">
        <v>63</v>
      </c>
      <c r="B176" s="8" t="s">
        <v>57</v>
      </c>
      <c r="C176" s="9" t="s">
        <v>53</v>
      </c>
      <c r="D176" s="10" t="n">
        <v>2.2</v>
      </c>
      <c r="E176" s="11" t="n">
        <v>86</v>
      </c>
      <c r="F176" s="11" t="n">
        <v>18</v>
      </c>
      <c r="G176" s="12" t="n">
        <v>0.56</v>
      </c>
      <c r="H176" s="13" t="n">
        <v>17443</v>
      </c>
    </row>
    <row r="177" customFormat="false" ht="15" hidden="false" customHeight="false" outlineLevel="0" collapsed="false">
      <c r="A177" s="14" t="s">
        <v>63</v>
      </c>
      <c r="B177" s="14" t="s">
        <v>58</v>
      </c>
      <c r="C177" s="15" t="s">
        <v>49</v>
      </c>
      <c r="D177" s="16" t="n">
        <v>2.2</v>
      </c>
      <c r="E177" s="17" t="n">
        <v>91</v>
      </c>
      <c r="F177" s="17" t="n">
        <v>28</v>
      </c>
      <c r="G177" s="18" t="n">
        <v>0.62</v>
      </c>
      <c r="H177" s="19" t="n">
        <v>14382</v>
      </c>
    </row>
    <row r="178" customFormat="false" ht="15" hidden="false" customHeight="false" outlineLevel="0" collapsed="false">
      <c r="A178" s="8" t="s">
        <v>63</v>
      </c>
      <c r="B178" s="8" t="s">
        <v>58</v>
      </c>
      <c r="C178" s="9" t="s">
        <v>50</v>
      </c>
      <c r="D178" s="10" t="n">
        <v>2.2</v>
      </c>
      <c r="E178" s="11" t="n">
        <v>61</v>
      </c>
      <c r="F178" s="11" t="n">
        <v>31</v>
      </c>
      <c r="G178" s="12" t="n">
        <v>0.67</v>
      </c>
      <c r="H178" s="13" t="n">
        <v>10654</v>
      </c>
    </row>
    <row r="179" customFormat="false" ht="15" hidden="false" customHeight="false" outlineLevel="0" collapsed="false">
      <c r="A179" s="14" t="s">
        <v>63</v>
      </c>
      <c r="B179" s="14" t="s">
        <v>58</v>
      </c>
      <c r="C179" s="15" t="s">
        <v>51</v>
      </c>
      <c r="D179" s="16" t="n">
        <v>2.2</v>
      </c>
      <c r="E179" s="17" t="n">
        <v>225</v>
      </c>
      <c r="F179" s="17" t="n">
        <v>96</v>
      </c>
      <c r="G179" s="18" t="n">
        <v>0.66</v>
      </c>
      <c r="H179" s="19" t="n">
        <v>9135</v>
      </c>
    </row>
    <row r="180" customFormat="false" ht="15" hidden="false" customHeight="false" outlineLevel="0" collapsed="false">
      <c r="A180" s="8" t="s">
        <v>63</v>
      </c>
      <c r="B180" s="8" t="s">
        <v>58</v>
      </c>
      <c r="C180" s="9" t="s">
        <v>52</v>
      </c>
      <c r="D180" s="10" t="n">
        <v>2.2</v>
      </c>
      <c r="E180" s="11" t="n">
        <v>91</v>
      </c>
      <c r="F180" s="11" t="n">
        <v>50</v>
      </c>
      <c r="G180" s="12" t="n">
        <v>0.74</v>
      </c>
      <c r="H180" s="13" t="n">
        <v>17877</v>
      </c>
    </row>
    <row r="181" customFormat="false" ht="15" hidden="false" customHeight="false" outlineLevel="0" collapsed="false">
      <c r="A181" s="14" t="s">
        <v>63</v>
      </c>
      <c r="B181" s="14" t="s">
        <v>58</v>
      </c>
      <c r="C181" s="15" t="s">
        <v>53</v>
      </c>
      <c r="D181" s="16" t="n">
        <v>2.2</v>
      </c>
      <c r="E181" s="17" t="n">
        <v>110</v>
      </c>
      <c r="F181" s="17" t="n">
        <v>41</v>
      </c>
      <c r="G181" s="18" t="n">
        <v>0.77</v>
      </c>
      <c r="H181" s="19" t="n">
        <v>12460</v>
      </c>
    </row>
    <row r="182" customFormat="false" ht="15" hidden="false" customHeight="false" outlineLevel="0" collapsed="false">
      <c r="A182" s="8" t="s">
        <v>64</v>
      </c>
      <c r="B182" s="8" t="s">
        <v>48</v>
      </c>
      <c r="C182" s="9" t="s">
        <v>49</v>
      </c>
      <c r="D182" s="10" t="n">
        <v>0.7</v>
      </c>
      <c r="E182" s="11" t="n">
        <v>15</v>
      </c>
      <c r="F182" s="11" t="n">
        <v>4</v>
      </c>
      <c r="G182" s="12" t="n">
        <v>0.68</v>
      </c>
      <c r="H182" s="13" t="n">
        <v>16079</v>
      </c>
    </row>
    <row r="183" customFormat="false" ht="15" hidden="false" customHeight="false" outlineLevel="0" collapsed="false">
      <c r="A183" s="14" t="s">
        <v>64</v>
      </c>
      <c r="B183" s="14" t="s">
        <v>48</v>
      </c>
      <c r="C183" s="15" t="s">
        <v>50</v>
      </c>
      <c r="D183" s="16" t="n">
        <v>0.7</v>
      </c>
      <c r="E183" s="17" t="n">
        <v>18</v>
      </c>
      <c r="F183" s="17" t="n">
        <v>7</v>
      </c>
      <c r="G183" s="18" t="n">
        <v>0.62</v>
      </c>
      <c r="H183" s="19" t="n">
        <v>12458</v>
      </c>
    </row>
    <row r="184" customFormat="false" ht="15" hidden="false" customHeight="false" outlineLevel="0" collapsed="false">
      <c r="A184" s="8" t="s">
        <v>64</v>
      </c>
      <c r="B184" s="8" t="s">
        <v>48</v>
      </c>
      <c r="C184" s="9" t="s">
        <v>51</v>
      </c>
      <c r="D184" s="10" t="n">
        <v>0.7</v>
      </c>
      <c r="E184" s="11" t="n">
        <v>17</v>
      </c>
      <c r="F184" s="11" t="n">
        <v>7</v>
      </c>
      <c r="G184" s="12" t="n">
        <v>0.71</v>
      </c>
      <c r="H184" s="13" t="n">
        <v>10469</v>
      </c>
    </row>
    <row r="185" customFormat="false" ht="15" hidden="false" customHeight="false" outlineLevel="0" collapsed="false">
      <c r="A185" s="14" t="s">
        <v>64</v>
      </c>
      <c r="B185" s="14" t="s">
        <v>48</v>
      </c>
      <c r="C185" s="15" t="s">
        <v>52</v>
      </c>
      <c r="D185" s="16" t="n">
        <v>0.7</v>
      </c>
      <c r="E185" s="17" t="n">
        <v>17</v>
      </c>
      <c r="F185" s="17" t="n">
        <v>7</v>
      </c>
      <c r="G185" s="18" t="n">
        <v>0.83</v>
      </c>
      <c r="H185" s="19" t="n">
        <v>16194</v>
      </c>
    </row>
    <row r="186" customFormat="false" ht="15" hidden="false" customHeight="false" outlineLevel="0" collapsed="false">
      <c r="A186" s="8" t="s">
        <v>64</v>
      </c>
      <c r="B186" s="8" t="s">
        <v>48</v>
      </c>
      <c r="C186" s="9" t="s">
        <v>53</v>
      </c>
      <c r="D186" s="10" t="n">
        <v>0.7</v>
      </c>
      <c r="E186" s="11" t="n">
        <v>56</v>
      </c>
      <c r="F186" s="11" t="n">
        <v>31</v>
      </c>
      <c r="G186" s="12" t="n">
        <v>0.79</v>
      </c>
      <c r="H186" s="13" t="n">
        <v>13045</v>
      </c>
    </row>
    <row r="187" customFormat="false" ht="15" hidden="false" customHeight="false" outlineLevel="0" collapsed="false">
      <c r="A187" s="14" t="s">
        <v>64</v>
      </c>
      <c r="B187" s="14" t="s">
        <v>54</v>
      </c>
      <c r="C187" s="15" t="s">
        <v>49</v>
      </c>
      <c r="D187" s="16" t="n">
        <v>0.7</v>
      </c>
      <c r="E187" s="17" t="n">
        <v>29</v>
      </c>
      <c r="F187" s="17" t="n">
        <v>6</v>
      </c>
      <c r="G187" s="18" t="n">
        <v>0.58</v>
      </c>
      <c r="H187" s="19" t="n">
        <v>26415</v>
      </c>
    </row>
    <row r="188" customFormat="false" ht="15" hidden="false" customHeight="false" outlineLevel="0" collapsed="false">
      <c r="A188" s="8" t="s">
        <v>64</v>
      </c>
      <c r="B188" s="8" t="s">
        <v>54</v>
      </c>
      <c r="C188" s="9" t="s">
        <v>50</v>
      </c>
      <c r="D188" s="10" t="n">
        <v>0.7</v>
      </c>
      <c r="E188" s="11" t="n">
        <v>15</v>
      </c>
      <c r="F188" s="11" t="n">
        <v>4</v>
      </c>
      <c r="G188" s="12" t="n">
        <v>0.5</v>
      </c>
      <c r="H188" s="13" t="n">
        <v>19653</v>
      </c>
    </row>
    <row r="189" customFormat="false" ht="15" hidden="false" customHeight="false" outlineLevel="0" collapsed="false">
      <c r="A189" s="14" t="s">
        <v>64</v>
      </c>
      <c r="B189" s="14" t="s">
        <v>54</v>
      </c>
      <c r="C189" s="15" t="s">
        <v>51</v>
      </c>
      <c r="D189" s="16" t="n">
        <v>0.7</v>
      </c>
      <c r="E189" s="17" t="n">
        <v>15</v>
      </c>
      <c r="F189" s="17" t="n">
        <v>4</v>
      </c>
      <c r="G189" s="18" t="n">
        <v>0.37</v>
      </c>
      <c r="H189" s="19" t="n">
        <v>17207</v>
      </c>
    </row>
    <row r="190" customFormat="false" ht="15" hidden="false" customHeight="false" outlineLevel="0" collapsed="false">
      <c r="A190" s="8" t="s">
        <v>64</v>
      </c>
      <c r="B190" s="8" t="s">
        <v>54</v>
      </c>
      <c r="C190" s="9" t="s">
        <v>52</v>
      </c>
      <c r="D190" s="10" t="n">
        <v>0.7</v>
      </c>
      <c r="E190" s="11" t="n">
        <v>15</v>
      </c>
      <c r="F190" s="11" t="n">
        <v>4</v>
      </c>
      <c r="G190" s="12" t="n">
        <v>0.43</v>
      </c>
      <c r="H190" s="13" t="n">
        <v>32859</v>
      </c>
    </row>
    <row r="191" customFormat="false" ht="15" hidden="false" customHeight="false" outlineLevel="0" collapsed="false">
      <c r="A191" s="14" t="s">
        <v>64</v>
      </c>
      <c r="B191" s="14" t="s">
        <v>54</v>
      </c>
      <c r="C191" s="15" t="s">
        <v>53</v>
      </c>
      <c r="D191" s="16" t="n">
        <v>0.7</v>
      </c>
      <c r="E191" s="17" t="n">
        <v>15</v>
      </c>
      <c r="F191" s="17" t="n">
        <v>5</v>
      </c>
      <c r="G191" s="18" t="n">
        <v>0.37</v>
      </c>
      <c r="H191" s="19" t="n">
        <v>21975</v>
      </c>
    </row>
    <row r="192" customFormat="false" ht="15" hidden="false" customHeight="false" outlineLevel="0" collapsed="false">
      <c r="A192" s="8" t="s">
        <v>64</v>
      </c>
      <c r="B192" s="8" t="s">
        <v>55</v>
      </c>
      <c r="C192" s="9" t="s">
        <v>49</v>
      </c>
      <c r="D192" s="10" t="n">
        <v>0.7</v>
      </c>
      <c r="E192" s="11" t="n">
        <v>15</v>
      </c>
      <c r="F192" s="11" t="n">
        <v>4</v>
      </c>
      <c r="G192" s="12" t="n">
        <v>0.71</v>
      </c>
      <c r="H192" s="13" t="n">
        <v>17137</v>
      </c>
    </row>
    <row r="193" customFormat="false" ht="15" hidden="false" customHeight="false" outlineLevel="0" collapsed="false">
      <c r="A193" s="14" t="s">
        <v>64</v>
      </c>
      <c r="B193" s="14" t="s">
        <v>55</v>
      </c>
      <c r="C193" s="15" t="s">
        <v>50</v>
      </c>
      <c r="D193" s="16" t="n">
        <v>0.7</v>
      </c>
      <c r="E193" s="17" t="n">
        <v>17</v>
      </c>
      <c r="F193" s="17" t="n">
        <v>8</v>
      </c>
      <c r="G193" s="18" t="n">
        <v>0.63</v>
      </c>
      <c r="H193" s="19" t="n">
        <v>11795</v>
      </c>
    </row>
    <row r="194" customFormat="false" ht="15" hidden="false" customHeight="false" outlineLevel="0" collapsed="false">
      <c r="A194" s="8" t="s">
        <v>64</v>
      </c>
      <c r="B194" s="8" t="s">
        <v>55</v>
      </c>
      <c r="C194" s="9" t="s">
        <v>51</v>
      </c>
      <c r="D194" s="10" t="n">
        <v>0.7</v>
      </c>
      <c r="E194" s="11" t="n">
        <v>16</v>
      </c>
      <c r="F194" s="11" t="n">
        <v>7</v>
      </c>
      <c r="G194" s="12" t="n">
        <v>0.61</v>
      </c>
      <c r="H194" s="13" t="n">
        <v>9989</v>
      </c>
    </row>
    <row r="195" customFormat="false" ht="15" hidden="false" customHeight="false" outlineLevel="0" collapsed="false">
      <c r="A195" s="14" t="s">
        <v>64</v>
      </c>
      <c r="B195" s="14" t="s">
        <v>55</v>
      </c>
      <c r="C195" s="15" t="s">
        <v>52</v>
      </c>
      <c r="D195" s="16" t="n">
        <v>0.7</v>
      </c>
      <c r="E195" s="17" t="n">
        <v>15</v>
      </c>
      <c r="F195" s="17" t="n">
        <v>4</v>
      </c>
      <c r="G195" s="18" t="n">
        <v>0.74</v>
      </c>
      <c r="H195" s="19" t="n">
        <v>17275</v>
      </c>
    </row>
    <row r="196" customFormat="false" ht="15" hidden="false" customHeight="false" outlineLevel="0" collapsed="false">
      <c r="A196" s="8" t="s">
        <v>64</v>
      </c>
      <c r="B196" s="8" t="s">
        <v>55</v>
      </c>
      <c r="C196" s="9" t="s">
        <v>53</v>
      </c>
      <c r="D196" s="10" t="n">
        <v>0.7</v>
      </c>
      <c r="E196" s="11" t="n">
        <v>26</v>
      </c>
      <c r="F196" s="11" t="n">
        <v>10</v>
      </c>
      <c r="G196" s="12" t="n">
        <v>0.6</v>
      </c>
      <c r="H196" s="13" t="n">
        <v>12331</v>
      </c>
    </row>
    <row r="197" customFormat="false" ht="15" hidden="false" customHeight="false" outlineLevel="0" collapsed="false">
      <c r="A197" s="14" t="s">
        <v>64</v>
      </c>
      <c r="B197" s="14" t="s">
        <v>56</v>
      </c>
      <c r="C197" s="15" t="s">
        <v>49</v>
      </c>
      <c r="D197" s="16" t="n">
        <v>0.7</v>
      </c>
      <c r="E197" s="17" t="n">
        <v>15</v>
      </c>
      <c r="F197" s="17" t="n">
        <v>4</v>
      </c>
      <c r="G197" s="18" t="n">
        <v>0.77</v>
      </c>
      <c r="H197" s="19" t="n">
        <v>18404</v>
      </c>
    </row>
    <row r="198" customFormat="false" ht="15" hidden="false" customHeight="false" outlineLevel="0" collapsed="false">
      <c r="A198" s="8" t="s">
        <v>64</v>
      </c>
      <c r="B198" s="8" t="s">
        <v>56</v>
      </c>
      <c r="C198" s="9" t="s">
        <v>50</v>
      </c>
      <c r="D198" s="10" t="n">
        <v>0.7</v>
      </c>
      <c r="E198" s="11" t="n">
        <v>16</v>
      </c>
      <c r="F198" s="11" t="n">
        <v>8</v>
      </c>
      <c r="G198" s="12" t="n">
        <v>0.67</v>
      </c>
      <c r="H198" s="13" t="n">
        <v>12629</v>
      </c>
    </row>
    <row r="199" customFormat="false" ht="15" hidden="false" customHeight="false" outlineLevel="0" collapsed="false">
      <c r="A199" s="14" t="s">
        <v>64</v>
      </c>
      <c r="B199" s="14" t="s">
        <v>56</v>
      </c>
      <c r="C199" s="15" t="s">
        <v>51</v>
      </c>
      <c r="D199" s="16" t="n">
        <v>0.7</v>
      </c>
      <c r="E199" s="17" t="n">
        <v>16</v>
      </c>
      <c r="F199" s="17" t="n">
        <v>8</v>
      </c>
      <c r="G199" s="18" t="n">
        <v>0.57</v>
      </c>
      <c r="H199" s="19" t="n">
        <v>12069</v>
      </c>
    </row>
    <row r="200" customFormat="false" ht="15" hidden="false" customHeight="false" outlineLevel="0" collapsed="false">
      <c r="A200" s="8" t="s">
        <v>64</v>
      </c>
      <c r="B200" s="8" t="s">
        <v>56</v>
      </c>
      <c r="C200" s="9" t="s">
        <v>52</v>
      </c>
      <c r="D200" s="10" t="n">
        <v>0.7</v>
      </c>
      <c r="E200" s="11" t="n">
        <v>16</v>
      </c>
      <c r="F200" s="11" t="n">
        <v>8</v>
      </c>
      <c r="G200" s="12" t="n">
        <v>0.65</v>
      </c>
      <c r="H200" s="13" t="n">
        <v>18446</v>
      </c>
    </row>
    <row r="201" customFormat="false" ht="15" hidden="false" customHeight="false" outlineLevel="0" collapsed="false">
      <c r="A201" s="14" t="s">
        <v>64</v>
      </c>
      <c r="B201" s="14" t="s">
        <v>56</v>
      </c>
      <c r="C201" s="15" t="s">
        <v>53</v>
      </c>
      <c r="D201" s="16" t="n">
        <v>0.7</v>
      </c>
      <c r="E201" s="17" t="n">
        <v>48</v>
      </c>
      <c r="F201" s="17" t="n">
        <v>28</v>
      </c>
      <c r="G201" s="18" t="n">
        <v>0.76</v>
      </c>
      <c r="H201" s="19" t="n">
        <v>15173</v>
      </c>
    </row>
    <row r="202" customFormat="false" ht="15" hidden="false" customHeight="false" outlineLevel="0" collapsed="false">
      <c r="A202" s="8" t="s">
        <v>64</v>
      </c>
      <c r="B202" s="8" t="s">
        <v>57</v>
      </c>
      <c r="C202" s="9" t="s">
        <v>49</v>
      </c>
      <c r="D202" s="10" t="n">
        <v>0.7</v>
      </c>
      <c r="E202" s="11" t="n">
        <v>15</v>
      </c>
      <c r="F202" s="11" t="n">
        <v>3</v>
      </c>
      <c r="G202" s="12" t="n">
        <v>0.6</v>
      </c>
      <c r="H202" s="13" t="n">
        <v>21340</v>
      </c>
    </row>
    <row r="203" customFormat="false" ht="15" hidden="false" customHeight="false" outlineLevel="0" collapsed="false">
      <c r="A203" s="14" t="s">
        <v>64</v>
      </c>
      <c r="B203" s="14" t="s">
        <v>57</v>
      </c>
      <c r="C203" s="15" t="s">
        <v>50</v>
      </c>
      <c r="D203" s="16" t="n">
        <v>0.7</v>
      </c>
      <c r="E203" s="17" t="n">
        <v>17</v>
      </c>
      <c r="F203" s="17" t="n">
        <v>3</v>
      </c>
      <c r="G203" s="18" t="n">
        <v>0.6</v>
      </c>
      <c r="H203" s="19" t="n">
        <v>17468</v>
      </c>
    </row>
    <row r="204" customFormat="false" ht="15" hidden="false" customHeight="false" outlineLevel="0" collapsed="false">
      <c r="A204" s="8" t="s">
        <v>64</v>
      </c>
      <c r="B204" s="8" t="s">
        <v>57</v>
      </c>
      <c r="C204" s="9" t="s">
        <v>51</v>
      </c>
      <c r="D204" s="10" t="n">
        <v>0.7</v>
      </c>
      <c r="E204" s="11" t="n">
        <v>15</v>
      </c>
      <c r="F204" s="11" t="n">
        <v>3</v>
      </c>
      <c r="G204" s="12" t="n">
        <v>0.59</v>
      </c>
      <c r="H204" s="13" t="n">
        <v>14083</v>
      </c>
    </row>
    <row r="205" customFormat="false" ht="15" hidden="false" customHeight="false" outlineLevel="0" collapsed="false">
      <c r="A205" s="14" t="s">
        <v>64</v>
      </c>
      <c r="B205" s="14" t="s">
        <v>57</v>
      </c>
      <c r="C205" s="15" t="s">
        <v>52</v>
      </c>
      <c r="D205" s="16" t="n">
        <v>0.7</v>
      </c>
      <c r="E205" s="17" t="n">
        <v>15</v>
      </c>
      <c r="F205" s="17" t="n">
        <v>3</v>
      </c>
      <c r="G205" s="18" t="n">
        <v>0.53</v>
      </c>
      <c r="H205" s="19" t="n">
        <v>22428</v>
      </c>
    </row>
    <row r="206" customFormat="false" ht="15" hidden="false" customHeight="false" outlineLevel="0" collapsed="false">
      <c r="A206" s="8" t="s">
        <v>64</v>
      </c>
      <c r="B206" s="8" t="s">
        <v>57</v>
      </c>
      <c r="C206" s="9" t="s">
        <v>53</v>
      </c>
      <c r="D206" s="10" t="n">
        <v>0.7</v>
      </c>
      <c r="E206" s="11" t="n">
        <v>32</v>
      </c>
      <c r="F206" s="11" t="n">
        <v>6</v>
      </c>
      <c r="G206" s="12" t="n">
        <v>0.43</v>
      </c>
      <c r="H206" s="13" t="n">
        <v>16633</v>
      </c>
    </row>
    <row r="207" customFormat="false" ht="15" hidden="false" customHeight="false" outlineLevel="0" collapsed="false">
      <c r="A207" s="14" t="s">
        <v>64</v>
      </c>
      <c r="B207" s="14" t="s">
        <v>58</v>
      </c>
      <c r="C207" s="15" t="s">
        <v>49</v>
      </c>
      <c r="D207" s="16" t="n">
        <v>0.7</v>
      </c>
      <c r="E207" s="17" t="n">
        <v>31</v>
      </c>
      <c r="F207" s="17" t="n">
        <v>9</v>
      </c>
      <c r="G207" s="18" t="n">
        <v>0.64</v>
      </c>
      <c r="H207" s="19" t="n">
        <v>15313</v>
      </c>
    </row>
    <row r="208" customFormat="false" ht="15" hidden="false" customHeight="false" outlineLevel="0" collapsed="false">
      <c r="A208" s="8" t="s">
        <v>64</v>
      </c>
      <c r="B208" s="8" t="s">
        <v>58</v>
      </c>
      <c r="C208" s="9" t="s">
        <v>50</v>
      </c>
      <c r="D208" s="10" t="n">
        <v>0.7</v>
      </c>
      <c r="E208" s="11" t="n">
        <v>20</v>
      </c>
      <c r="F208" s="11" t="n">
        <v>7</v>
      </c>
      <c r="G208" s="12" t="n">
        <v>0.77</v>
      </c>
      <c r="H208" s="13" t="n">
        <v>11581</v>
      </c>
    </row>
    <row r="209" customFormat="false" ht="15" hidden="false" customHeight="false" outlineLevel="0" collapsed="false">
      <c r="A209" s="14" t="s">
        <v>64</v>
      </c>
      <c r="B209" s="14" t="s">
        <v>58</v>
      </c>
      <c r="C209" s="15" t="s">
        <v>51</v>
      </c>
      <c r="D209" s="16" t="n">
        <v>0.7</v>
      </c>
      <c r="E209" s="17" t="n">
        <v>72</v>
      </c>
      <c r="F209" s="17" t="n">
        <v>34</v>
      </c>
      <c r="G209" s="18" t="n">
        <v>0.7</v>
      </c>
      <c r="H209" s="19" t="n">
        <v>10481</v>
      </c>
    </row>
    <row r="210" customFormat="false" ht="15" hidden="false" customHeight="false" outlineLevel="0" collapsed="false">
      <c r="A210" s="8" t="s">
        <v>64</v>
      </c>
      <c r="B210" s="8" t="s">
        <v>58</v>
      </c>
      <c r="C210" s="9" t="s">
        <v>52</v>
      </c>
      <c r="D210" s="10" t="n">
        <v>0.7</v>
      </c>
      <c r="E210" s="11" t="n">
        <v>26</v>
      </c>
      <c r="F210" s="11" t="n">
        <v>11</v>
      </c>
      <c r="G210" s="12" t="n">
        <v>0.71</v>
      </c>
      <c r="H210" s="13" t="n">
        <v>17877</v>
      </c>
    </row>
    <row r="211" customFormat="false" ht="15" hidden="false" customHeight="false" outlineLevel="0" collapsed="false">
      <c r="A211" s="14" t="s">
        <v>64</v>
      </c>
      <c r="B211" s="14" t="s">
        <v>58</v>
      </c>
      <c r="C211" s="15" t="s">
        <v>53</v>
      </c>
      <c r="D211" s="16" t="n">
        <v>0.7</v>
      </c>
      <c r="E211" s="17" t="n">
        <v>36</v>
      </c>
      <c r="F211" s="17" t="n">
        <v>16</v>
      </c>
      <c r="G211" s="18" t="n">
        <v>0.77</v>
      </c>
      <c r="H211" s="19" t="n">
        <v>12544</v>
      </c>
    </row>
    <row r="212" customFormat="false" ht="15" hidden="false" customHeight="false" outlineLevel="0" collapsed="false">
      <c r="A212" s="8" t="s">
        <v>65</v>
      </c>
      <c r="B212" s="8" t="s">
        <v>48</v>
      </c>
      <c r="C212" s="9" t="s">
        <v>49</v>
      </c>
      <c r="D212" s="10" t="n">
        <v>4.1</v>
      </c>
      <c r="E212" s="11" t="n">
        <v>113</v>
      </c>
      <c r="F212" s="11" t="n">
        <v>33</v>
      </c>
      <c r="G212" s="12" t="n">
        <v>0.74</v>
      </c>
      <c r="H212" s="13" t="n">
        <v>16600</v>
      </c>
    </row>
    <row r="213" customFormat="false" ht="15" hidden="false" customHeight="false" outlineLevel="0" collapsed="false">
      <c r="A213" s="14" t="s">
        <v>65</v>
      </c>
      <c r="B213" s="14" t="s">
        <v>48</v>
      </c>
      <c r="C213" s="15" t="s">
        <v>50</v>
      </c>
      <c r="D213" s="16" t="n">
        <v>4.1</v>
      </c>
      <c r="E213" s="17" t="n">
        <v>185</v>
      </c>
      <c r="F213" s="17" t="n">
        <v>103</v>
      </c>
      <c r="G213" s="18" t="n">
        <v>0.68</v>
      </c>
      <c r="H213" s="19" t="n">
        <v>12611</v>
      </c>
    </row>
    <row r="214" customFormat="false" ht="15" hidden="false" customHeight="false" outlineLevel="0" collapsed="false">
      <c r="A214" s="8" t="s">
        <v>65</v>
      </c>
      <c r="B214" s="8" t="s">
        <v>48</v>
      </c>
      <c r="C214" s="9" t="s">
        <v>51</v>
      </c>
      <c r="D214" s="10" t="n">
        <v>4.1</v>
      </c>
      <c r="E214" s="11" t="n">
        <v>183</v>
      </c>
      <c r="F214" s="11" t="n">
        <v>93</v>
      </c>
      <c r="G214" s="12" t="n">
        <v>0.65</v>
      </c>
      <c r="H214" s="13" t="n">
        <v>10156</v>
      </c>
    </row>
    <row r="215" customFormat="false" ht="15" hidden="false" customHeight="false" outlineLevel="0" collapsed="false">
      <c r="A215" s="14" t="s">
        <v>65</v>
      </c>
      <c r="B215" s="14" t="s">
        <v>48</v>
      </c>
      <c r="C215" s="15" t="s">
        <v>52</v>
      </c>
      <c r="D215" s="16" t="n">
        <v>4.1</v>
      </c>
      <c r="E215" s="17" t="n">
        <v>196</v>
      </c>
      <c r="F215" s="17" t="n">
        <v>117</v>
      </c>
      <c r="G215" s="18" t="n">
        <v>0.64</v>
      </c>
      <c r="H215" s="19" t="n">
        <v>16244</v>
      </c>
    </row>
    <row r="216" customFormat="false" ht="15" hidden="false" customHeight="false" outlineLevel="0" collapsed="false">
      <c r="A216" s="8" t="s">
        <v>65</v>
      </c>
      <c r="B216" s="8" t="s">
        <v>48</v>
      </c>
      <c r="C216" s="9" t="s">
        <v>53</v>
      </c>
      <c r="D216" s="10" t="n">
        <v>4.1</v>
      </c>
      <c r="E216" s="11" t="n">
        <v>589</v>
      </c>
      <c r="F216" s="11" t="n">
        <v>326</v>
      </c>
      <c r="G216" s="12" t="n">
        <v>0.68</v>
      </c>
      <c r="H216" s="13" t="n">
        <v>12696</v>
      </c>
    </row>
    <row r="217" customFormat="false" ht="15" hidden="false" customHeight="false" outlineLevel="0" collapsed="false">
      <c r="A217" s="14" t="s">
        <v>65</v>
      </c>
      <c r="B217" s="14" t="s">
        <v>54</v>
      </c>
      <c r="C217" s="15" t="s">
        <v>49</v>
      </c>
      <c r="D217" s="16" t="n">
        <v>4.1</v>
      </c>
      <c r="E217" s="17" t="n">
        <v>339</v>
      </c>
      <c r="F217" s="17" t="n">
        <v>70</v>
      </c>
      <c r="G217" s="18" t="n">
        <v>0.37</v>
      </c>
      <c r="H217" s="19" t="n">
        <v>29094</v>
      </c>
    </row>
    <row r="218" customFormat="false" ht="15" hidden="false" customHeight="false" outlineLevel="0" collapsed="false">
      <c r="A218" s="8" t="s">
        <v>65</v>
      </c>
      <c r="B218" s="8" t="s">
        <v>54</v>
      </c>
      <c r="C218" s="9" t="s">
        <v>50</v>
      </c>
      <c r="D218" s="10" t="n">
        <v>4.1</v>
      </c>
      <c r="E218" s="11" t="n">
        <v>70</v>
      </c>
      <c r="F218" s="11" t="n">
        <v>15</v>
      </c>
      <c r="G218" s="12" t="n">
        <v>0.46</v>
      </c>
      <c r="H218" s="13" t="n">
        <v>22479</v>
      </c>
    </row>
    <row r="219" customFormat="false" ht="15" hidden="false" customHeight="false" outlineLevel="0" collapsed="false">
      <c r="A219" s="14" t="s">
        <v>65</v>
      </c>
      <c r="B219" s="14" t="s">
        <v>54</v>
      </c>
      <c r="C219" s="15" t="s">
        <v>51</v>
      </c>
      <c r="D219" s="16" t="n">
        <v>4.1</v>
      </c>
      <c r="E219" s="17" t="n">
        <v>105</v>
      </c>
      <c r="F219" s="17" t="n">
        <v>27</v>
      </c>
      <c r="G219" s="18" t="n">
        <v>0.56</v>
      </c>
      <c r="H219" s="19" t="n">
        <v>18477</v>
      </c>
    </row>
    <row r="220" customFormat="false" ht="15" hidden="false" customHeight="false" outlineLevel="0" collapsed="false">
      <c r="A220" s="8" t="s">
        <v>65</v>
      </c>
      <c r="B220" s="8" t="s">
        <v>54</v>
      </c>
      <c r="C220" s="9" t="s">
        <v>52</v>
      </c>
      <c r="D220" s="10" t="n">
        <v>4.1</v>
      </c>
      <c r="E220" s="11" t="n">
        <v>70</v>
      </c>
      <c r="F220" s="11" t="n">
        <v>18</v>
      </c>
      <c r="G220" s="12" t="n">
        <v>0.45</v>
      </c>
      <c r="H220" s="13" t="n">
        <v>29974</v>
      </c>
    </row>
    <row r="221" customFormat="false" ht="15" hidden="false" customHeight="false" outlineLevel="0" collapsed="false">
      <c r="A221" s="14" t="s">
        <v>65</v>
      </c>
      <c r="B221" s="14" t="s">
        <v>54</v>
      </c>
      <c r="C221" s="15" t="s">
        <v>53</v>
      </c>
      <c r="D221" s="16" t="n">
        <v>4.1</v>
      </c>
      <c r="E221" s="17" t="n">
        <v>133</v>
      </c>
      <c r="F221" s="17" t="n">
        <v>51</v>
      </c>
      <c r="G221" s="18" t="n">
        <v>0.48</v>
      </c>
      <c r="H221" s="19" t="n">
        <v>22824</v>
      </c>
    </row>
    <row r="222" customFormat="false" ht="15" hidden="false" customHeight="false" outlineLevel="0" collapsed="false">
      <c r="A222" s="8" t="s">
        <v>65</v>
      </c>
      <c r="B222" s="8" t="s">
        <v>55</v>
      </c>
      <c r="C222" s="9" t="s">
        <v>49</v>
      </c>
      <c r="D222" s="10" t="n">
        <v>4.1</v>
      </c>
      <c r="E222" s="11" t="n">
        <v>150</v>
      </c>
      <c r="F222" s="11" t="n">
        <v>32</v>
      </c>
      <c r="G222" s="12" t="n">
        <v>0.63</v>
      </c>
      <c r="H222" s="13" t="n">
        <v>18038</v>
      </c>
    </row>
    <row r="223" customFormat="false" ht="15" hidden="false" customHeight="false" outlineLevel="0" collapsed="false">
      <c r="A223" s="14" t="s">
        <v>65</v>
      </c>
      <c r="B223" s="14" t="s">
        <v>55</v>
      </c>
      <c r="C223" s="15" t="s">
        <v>50</v>
      </c>
      <c r="D223" s="16" t="n">
        <v>4.1</v>
      </c>
      <c r="E223" s="17" t="n">
        <v>180</v>
      </c>
      <c r="F223" s="17" t="n">
        <v>90</v>
      </c>
      <c r="G223" s="18" t="n">
        <v>0.67</v>
      </c>
      <c r="H223" s="19" t="n">
        <v>12110</v>
      </c>
    </row>
    <row r="224" customFormat="false" ht="15" hidden="false" customHeight="false" outlineLevel="0" collapsed="false">
      <c r="A224" s="8" t="s">
        <v>65</v>
      </c>
      <c r="B224" s="8" t="s">
        <v>55</v>
      </c>
      <c r="C224" s="9" t="s">
        <v>51</v>
      </c>
      <c r="D224" s="10" t="n">
        <v>4.1</v>
      </c>
      <c r="E224" s="11" t="n">
        <v>197</v>
      </c>
      <c r="F224" s="11" t="n">
        <v>101</v>
      </c>
      <c r="G224" s="12" t="n">
        <v>0.75</v>
      </c>
      <c r="H224" s="13" t="n">
        <v>10228</v>
      </c>
    </row>
    <row r="225" customFormat="false" ht="15" hidden="false" customHeight="false" outlineLevel="0" collapsed="false">
      <c r="A225" s="14" t="s">
        <v>65</v>
      </c>
      <c r="B225" s="14" t="s">
        <v>55</v>
      </c>
      <c r="C225" s="15" t="s">
        <v>52</v>
      </c>
      <c r="D225" s="16" t="n">
        <v>4.1</v>
      </c>
      <c r="E225" s="17" t="n">
        <v>147</v>
      </c>
      <c r="F225" s="17" t="n">
        <v>48</v>
      </c>
      <c r="G225" s="18" t="n">
        <v>0.77</v>
      </c>
      <c r="H225" s="19" t="n">
        <v>19164</v>
      </c>
    </row>
    <row r="226" customFormat="false" ht="15" hidden="false" customHeight="false" outlineLevel="0" collapsed="false">
      <c r="A226" s="8" t="s">
        <v>65</v>
      </c>
      <c r="B226" s="8" t="s">
        <v>55</v>
      </c>
      <c r="C226" s="9" t="s">
        <v>53</v>
      </c>
      <c r="D226" s="10" t="n">
        <v>4.1</v>
      </c>
      <c r="E226" s="11" t="n">
        <v>302</v>
      </c>
      <c r="F226" s="11" t="n">
        <v>155</v>
      </c>
      <c r="G226" s="12" t="n">
        <v>0.79</v>
      </c>
      <c r="H226" s="13" t="n">
        <v>13777</v>
      </c>
    </row>
    <row r="227" customFormat="false" ht="15" hidden="false" customHeight="false" outlineLevel="0" collapsed="false">
      <c r="A227" s="14" t="s">
        <v>65</v>
      </c>
      <c r="B227" s="14" t="s">
        <v>56</v>
      </c>
      <c r="C227" s="15" t="s">
        <v>49</v>
      </c>
      <c r="D227" s="16" t="n">
        <v>4.1</v>
      </c>
      <c r="E227" s="17" t="n">
        <v>110</v>
      </c>
      <c r="F227" s="17" t="n">
        <v>40</v>
      </c>
      <c r="G227" s="18" t="n">
        <v>0.71</v>
      </c>
      <c r="H227" s="19" t="n">
        <v>17536</v>
      </c>
    </row>
    <row r="228" customFormat="false" ht="15" hidden="false" customHeight="false" outlineLevel="0" collapsed="false">
      <c r="A228" s="8" t="s">
        <v>65</v>
      </c>
      <c r="B228" s="8" t="s">
        <v>56</v>
      </c>
      <c r="C228" s="9" t="s">
        <v>50</v>
      </c>
      <c r="D228" s="10" t="n">
        <v>4.1</v>
      </c>
      <c r="E228" s="11" t="n">
        <v>166</v>
      </c>
      <c r="F228" s="11" t="n">
        <v>85</v>
      </c>
      <c r="G228" s="12" t="n">
        <v>0.74</v>
      </c>
      <c r="H228" s="13" t="n">
        <v>13611</v>
      </c>
    </row>
    <row r="229" customFormat="false" ht="15" hidden="false" customHeight="false" outlineLevel="0" collapsed="false">
      <c r="A229" s="14" t="s">
        <v>65</v>
      </c>
      <c r="B229" s="14" t="s">
        <v>56</v>
      </c>
      <c r="C229" s="15" t="s">
        <v>51</v>
      </c>
      <c r="D229" s="16" t="n">
        <v>4.1</v>
      </c>
      <c r="E229" s="17" t="n">
        <v>162</v>
      </c>
      <c r="F229" s="17" t="n">
        <v>109</v>
      </c>
      <c r="G229" s="18" t="n">
        <v>0.76</v>
      </c>
      <c r="H229" s="19" t="n">
        <v>10726</v>
      </c>
    </row>
    <row r="230" customFormat="false" ht="15" hidden="false" customHeight="false" outlineLevel="0" collapsed="false">
      <c r="A230" s="8" t="s">
        <v>65</v>
      </c>
      <c r="B230" s="8" t="s">
        <v>56</v>
      </c>
      <c r="C230" s="9" t="s">
        <v>52</v>
      </c>
      <c r="D230" s="10" t="n">
        <v>4.1</v>
      </c>
      <c r="E230" s="11" t="n">
        <v>160</v>
      </c>
      <c r="F230" s="11" t="n">
        <v>83</v>
      </c>
      <c r="G230" s="12" t="n">
        <v>0.55</v>
      </c>
      <c r="H230" s="13" t="n">
        <v>20424</v>
      </c>
    </row>
    <row r="231" customFormat="false" ht="15" hidden="false" customHeight="false" outlineLevel="0" collapsed="false">
      <c r="A231" s="14" t="s">
        <v>65</v>
      </c>
      <c r="B231" s="14" t="s">
        <v>56</v>
      </c>
      <c r="C231" s="15" t="s">
        <v>53</v>
      </c>
      <c r="D231" s="16" t="n">
        <v>4.1</v>
      </c>
      <c r="E231" s="17" t="n">
        <v>458</v>
      </c>
      <c r="F231" s="17" t="n">
        <v>218</v>
      </c>
      <c r="G231" s="18" t="n">
        <v>0.69</v>
      </c>
      <c r="H231" s="19" t="n">
        <v>13658</v>
      </c>
    </row>
    <row r="232" customFormat="false" ht="15" hidden="false" customHeight="false" outlineLevel="0" collapsed="false">
      <c r="A232" s="8" t="s">
        <v>65</v>
      </c>
      <c r="B232" s="8" t="s">
        <v>57</v>
      </c>
      <c r="C232" s="9" t="s">
        <v>49</v>
      </c>
      <c r="D232" s="10" t="n">
        <v>4.1</v>
      </c>
      <c r="E232" s="11" t="n">
        <v>90</v>
      </c>
      <c r="F232" s="11" t="n">
        <v>8</v>
      </c>
      <c r="G232" s="12" t="n">
        <v>0.65</v>
      </c>
      <c r="H232" s="13" t="n">
        <v>22404</v>
      </c>
    </row>
    <row r="233" customFormat="false" ht="15" hidden="false" customHeight="false" outlineLevel="0" collapsed="false">
      <c r="A233" s="14" t="s">
        <v>65</v>
      </c>
      <c r="B233" s="14" t="s">
        <v>57</v>
      </c>
      <c r="C233" s="15" t="s">
        <v>50</v>
      </c>
      <c r="D233" s="16" t="n">
        <v>4.1</v>
      </c>
      <c r="E233" s="17" t="n">
        <v>114</v>
      </c>
      <c r="F233" s="17" t="n">
        <v>20</v>
      </c>
      <c r="G233" s="18" t="n">
        <v>0.54</v>
      </c>
      <c r="H233" s="19" t="n">
        <v>15852</v>
      </c>
    </row>
    <row r="234" customFormat="false" ht="15" hidden="false" customHeight="false" outlineLevel="0" collapsed="false">
      <c r="A234" s="8" t="s">
        <v>65</v>
      </c>
      <c r="B234" s="8" t="s">
        <v>57</v>
      </c>
      <c r="C234" s="9" t="s">
        <v>51</v>
      </c>
      <c r="D234" s="10" t="n">
        <v>4.1</v>
      </c>
      <c r="E234" s="11" t="n">
        <v>60</v>
      </c>
      <c r="F234" s="11" t="n">
        <v>8</v>
      </c>
      <c r="G234" s="12" t="n">
        <v>0.44</v>
      </c>
      <c r="H234" s="13" t="n">
        <v>15062</v>
      </c>
    </row>
    <row r="235" customFormat="false" ht="15" hidden="false" customHeight="false" outlineLevel="0" collapsed="false">
      <c r="A235" s="14" t="s">
        <v>65</v>
      </c>
      <c r="B235" s="14" t="s">
        <v>57</v>
      </c>
      <c r="C235" s="15" t="s">
        <v>52</v>
      </c>
      <c r="D235" s="16" t="n">
        <v>4.1</v>
      </c>
      <c r="E235" s="17" t="n">
        <v>81</v>
      </c>
      <c r="F235" s="17" t="n">
        <v>9</v>
      </c>
      <c r="G235" s="18" t="n">
        <v>0.58</v>
      </c>
      <c r="H235" s="19" t="n">
        <v>23211</v>
      </c>
    </row>
    <row r="236" customFormat="false" ht="15" hidden="false" customHeight="false" outlineLevel="0" collapsed="false">
      <c r="A236" s="8" t="s">
        <v>65</v>
      </c>
      <c r="B236" s="8" t="s">
        <v>57</v>
      </c>
      <c r="C236" s="9" t="s">
        <v>53</v>
      </c>
      <c r="D236" s="10" t="n">
        <v>4.1</v>
      </c>
      <c r="E236" s="11" t="n">
        <v>215</v>
      </c>
      <c r="F236" s="11" t="n">
        <v>21</v>
      </c>
      <c r="G236" s="12" t="n">
        <v>0.48</v>
      </c>
      <c r="H236" s="13" t="n">
        <v>18334</v>
      </c>
    </row>
    <row r="237" customFormat="false" ht="15" hidden="false" customHeight="false" outlineLevel="0" collapsed="false">
      <c r="A237" s="14" t="s">
        <v>65</v>
      </c>
      <c r="B237" s="14" t="s">
        <v>58</v>
      </c>
      <c r="C237" s="15" t="s">
        <v>49</v>
      </c>
      <c r="D237" s="16" t="n">
        <v>4.1</v>
      </c>
      <c r="E237" s="17" t="n">
        <v>186</v>
      </c>
      <c r="F237" s="17" t="n">
        <v>69</v>
      </c>
      <c r="G237" s="18" t="n">
        <v>0.64</v>
      </c>
      <c r="H237" s="19" t="n">
        <v>14599</v>
      </c>
    </row>
    <row r="238" customFormat="false" ht="15" hidden="false" customHeight="false" outlineLevel="0" collapsed="false">
      <c r="A238" s="8" t="s">
        <v>65</v>
      </c>
      <c r="B238" s="8" t="s">
        <v>58</v>
      </c>
      <c r="C238" s="9" t="s">
        <v>50</v>
      </c>
      <c r="D238" s="10" t="n">
        <v>4.1</v>
      </c>
      <c r="E238" s="11" t="n">
        <v>128</v>
      </c>
      <c r="F238" s="11" t="n">
        <v>73</v>
      </c>
      <c r="G238" s="12" t="n">
        <v>0.7</v>
      </c>
      <c r="H238" s="13" t="n">
        <v>11722</v>
      </c>
    </row>
    <row r="239" customFormat="false" ht="15" hidden="false" customHeight="false" outlineLevel="0" collapsed="false">
      <c r="A239" s="14" t="s">
        <v>65</v>
      </c>
      <c r="B239" s="14" t="s">
        <v>58</v>
      </c>
      <c r="C239" s="15" t="s">
        <v>51</v>
      </c>
      <c r="D239" s="16" t="n">
        <v>4.1</v>
      </c>
      <c r="E239" s="17" t="n">
        <v>477</v>
      </c>
      <c r="F239" s="17" t="n">
        <v>274</v>
      </c>
      <c r="G239" s="18" t="n">
        <v>0.8</v>
      </c>
      <c r="H239" s="19" t="n">
        <v>10339</v>
      </c>
    </row>
    <row r="240" customFormat="false" ht="15" hidden="false" customHeight="false" outlineLevel="0" collapsed="false">
      <c r="A240" s="8" t="s">
        <v>65</v>
      </c>
      <c r="B240" s="8" t="s">
        <v>58</v>
      </c>
      <c r="C240" s="9" t="s">
        <v>52</v>
      </c>
      <c r="D240" s="10" t="n">
        <v>4.1</v>
      </c>
      <c r="E240" s="11" t="n">
        <v>196</v>
      </c>
      <c r="F240" s="11" t="n">
        <v>78</v>
      </c>
      <c r="G240" s="12" t="n">
        <v>0.66</v>
      </c>
      <c r="H240" s="13" t="n">
        <v>15615</v>
      </c>
    </row>
    <row r="241" customFormat="false" ht="15" hidden="false" customHeight="false" outlineLevel="0" collapsed="false">
      <c r="A241" s="14" t="s">
        <v>65</v>
      </c>
      <c r="B241" s="14" t="s">
        <v>58</v>
      </c>
      <c r="C241" s="15" t="s">
        <v>53</v>
      </c>
      <c r="D241" s="16" t="n">
        <v>4.1</v>
      </c>
      <c r="E241" s="17" t="n">
        <v>227</v>
      </c>
      <c r="F241" s="17" t="n">
        <v>83</v>
      </c>
      <c r="G241" s="18" t="n">
        <v>0.82</v>
      </c>
      <c r="H241" s="19" t="n">
        <v>12855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25"/>
  </cols>
  <sheetData>
    <row r="1" customFormat="false" ht="15" hidden="false" customHeight="false" outlineLevel="0" collapsed="false">
      <c r="A1" s="6" t="s">
        <v>38</v>
      </c>
      <c r="B1" s="6" t="s">
        <v>39</v>
      </c>
      <c r="C1" s="6" t="s">
        <v>40</v>
      </c>
      <c r="D1" s="6" t="s">
        <v>66</v>
      </c>
      <c r="E1" s="6" t="s">
        <v>67</v>
      </c>
      <c r="F1" s="6" t="s">
        <v>68</v>
      </c>
      <c r="G1" s="6" t="s">
        <v>69</v>
      </c>
      <c r="H1" s="6" t="s">
        <v>44</v>
      </c>
      <c r="I1" s="6" t="s">
        <v>45</v>
      </c>
    </row>
    <row r="2" customFormat="false" ht="15" hidden="false" customHeight="false" outlineLevel="0" collapsed="false">
      <c r="A2" s="20" t="s">
        <v>47</v>
      </c>
      <c r="B2" s="20" t="s">
        <v>48</v>
      </c>
      <c r="C2" s="20" t="s">
        <v>49</v>
      </c>
      <c r="D2" s="21" t="n">
        <v>31</v>
      </c>
      <c r="E2" s="21" t="n">
        <v>11</v>
      </c>
      <c r="F2" s="21" t="n">
        <f aca="false">D2-E2</f>
        <v>20</v>
      </c>
      <c r="G2" s="22" t="n">
        <f aca="false">IFERROR(F2/D2,0)</f>
        <v>0.645161290322581</v>
      </c>
      <c r="H2" s="23" t="n">
        <v>0.63</v>
      </c>
      <c r="I2" s="24" t="n">
        <v>17399</v>
      </c>
    </row>
    <row r="3" customFormat="false" ht="15" hidden="false" customHeight="false" outlineLevel="0" collapsed="false">
      <c r="A3" s="25" t="s">
        <v>47</v>
      </c>
      <c r="B3" s="25" t="s">
        <v>48</v>
      </c>
      <c r="C3" s="25" t="s">
        <v>50</v>
      </c>
      <c r="D3" s="26" t="n">
        <v>47</v>
      </c>
      <c r="E3" s="26" t="n">
        <v>18</v>
      </c>
      <c r="F3" s="26" t="n">
        <f aca="false">D3-E3</f>
        <v>29</v>
      </c>
      <c r="G3" s="27" t="n">
        <f aca="false">IFERROR(F3/D3,0)</f>
        <v>0.617021276595745</v>
      </c>
      <c r="H3" s="28" t="n">
        <v>0.73</v>
      </c>
      <c r="I3" s="29" t="n">
        <v>11913</v>
      </c>
    </row>
    <row r="4" customFormat="false" ht="15" hidden="false" customHeight="false" outlineLevel="0" collapsed="false">
      <c r="A4" s="20" t="s">
        <v>47</v>
      </c>
      <c r="B4" s="20" t="s">
        <v>48</v>
      </c>
      <c r="C4" s="20" t="s">
        <v>51</v>
      </c>
      <c r="D4" s="21" t="n">
        <v>42</v>
      </c>
      <c r="E4" s="21" t="n">
        <v>26</v>
      </c>
      <c r="F4" s="21" t="n">
        <f aca="false">D4-E4</f>
        <v>16</v>
      </c>
      <c r="G4" s="22" t="n">
        <f aca="false">IFERROR(F4/D4,0)</f>
        <v>0.380952380952381</v>
      </c>
      <c r="H4" s="23" t="n">
        <v>0.82</v>
      </c>
      <c r="I4" s="24" t="n">
        <v>10565</v>
      </c>
    </row>
    <row r="5" customFormat="false" ht="15" hidden="false" customHeight="false" outlineLevel="0" collapsed="false">
      <c r="A5" s="25" t="s">
        <v>47</v>
      </c>
      <c r="B5" s="25" t="s">
        <v>48</v>
      </c>
      <c r="C5" s="25" t="s">
        <v>52</v>
      </c>
      <c r="D5" s="26" t="n">
        <v>48</v>
      </c>
      <c r="E5" s="26" t="n">
        <v>30</v>
      </c>
      <c r="F5" s="26" t="n">
        <f aca="false">D5-E5</f>
        <v>18</v>
      </c>
      <c r="G5" s="27" t="n">
        <f aca="false">IFERROR(F5/D5,0)</f>
        <v>0.375</v>
      </c>
      <c r="H5" s="28" t="n">
        <v>0.8</v>
      </c>
      <c r="I5" s="29" t="n">
        <v>17026</v>
      </c>
    </row>
    <row r="6" customFormat="false" ht="15" hidden="false" customHeight="false" outlineLevel="0" collapsed="false">
      <c r="A6" s="20" t="s">
        <v>47</v>
      </c>
      <c r="B6" s="20" t="s">
        <v>48</v>
      </c>
      <c r="C6" s="20" t="s">
        <v>53</v>
      </c>
      <c r="D6" s="21" t="n">
        <v>142</v>
      </c>
      <c r="E6" s="21" t="n">
        <v>65</v>
      </c>
      <c r="F6" s="21" t="n">
        <f aca="false">D6-E6</f>
        <v>77</v>
      </c>
      <c r="G6" s="22" t="n">
        <f aca="false">IFERROR(F6/D6,0)</f>
        <v>0.542253521126761</v>
      </c>
      <c r="H6" s="23" t="n">
        <v>0.81</v>
      </c>
      <c r="I6" s="24" t="n">
        <v>12563</v>
      </c>
    </row>
    <row r="7" customFormat="false" ht="15" hidden="false" customHeight="false" outlineLevel="0" collapsed="false">
      <c r="A7" s="25" t="s">
        <v>47</v>
      </c>
      <c r="B7" s="25" t="s">
        <v>54</v>
      </c>
      <c r="C7" s="25" t="s">
        <v>49</v>
      </c>
      <c r="D7" s="26" t="n">
        <v>72</v>
      </c>
      <c r="E7" s="26" t="n">
        <v>17</v>
      </c>
      <c r="F7" s="26" t="n">
        <f aca="false">D7-E7</f>
        <v>55</v>
      </c>
      <c r="G7" s="27" t="n">
        <f aca="false">IFERROR(F7/D7,0)</f>
        <v>0.763888888888889</v>
      </c>
      <c r="H7" s="28" t="n">
        <v>0.58</v>
      </c>
      <c r="I7" s="29" t="n">
        <v>29013</v>
      </c>
    </row>
    <row r="8" customFormat="false" ht="15" hidden="false" customHeight="false" outlineLevel="0" collapsed="false">
      <c r="A8" s="20" t="s">
        <v>47</v>
      </c>
      <c r="B8" s="20" t="s">
        <v>54</v>
      </c>
      <c r="C8" s="20" t="s">
        <v>50</v>
      </c>
      <c r="D8" s="21" t="n">
        <v>15</v>
      </c>
      <c r="E8" s="21" t="n">
        <v>4</v>
      </c>
      <c r="F8" s="21" t="n">
        <f aca="false">D8-E8</f>
        <v>11</v>
      </c>
      <c r="G8" s="22" t="n">
        <f aca="false">IFERROR(F8/D8,0)</f>
        <v>0.733333333333333</v>
      </c>
      <c r="H8" s="23" t="n">
        <v>0.59</v>
      </c>
      <c r="I8" s="24" t="n">
        <v>21103</v>
      </c>
    </row>
    <row r="9" customFormat="false" ht="15" hidden="false" customHeight="false" outlineLevel="0" collapsed="false">
      <c r="A9" s="25" t="s">
        <v>47</v>
      </c>
      <c r="B9" s="25" t="s">
        <v>54</v>
      </c>
      <c r="C9" s="25" t="s">
        <v>51</v>
      </c>
      <c r="D9" s="26" t="n">
        <v>22</v>
      </c>
      <c r="E9" s="26" t="n">
        <v>6</v>
      </c>
      <c r="F9" s="26" t="n">
        <f aca="false">D9-E9</f>
        <v>16</v>
      </c>
      <c r="G9" s="27" t="n">
        <f aca="false">IFERROR(F9/D9,0)</f>
        <v>0.727272727272727</v>
      </c>
      <c r="H9" s="28" t="n">
        <v>0.49</v>
      </c>
      <c r="I9" s="29" t="n">
        <v>18513</v>
      </c>
    </row>
    <row r="10" customFormat="false" ht="15" hidden="false" customHeight="false" outlineLevel="0" collapsed="false">
      <c r="A10" s="20" t="s">
        <v>47</v>
      </c>
      <c r="B10" s="20" t="s">
        <v>54</v>
      </c>
      <c r="C10" s="20" t="s">
        <v>52</v>
      </c>
      <c r="D10" s="21" t="n">
        <v>15</v>
      </c>
      <c r="E10" s="21" t="n">
        <v>3</v>
      </c>
      <c r="F10" s="21" t="n">
        <f aca="false">D10-E10</f>
        <v>12</v>
      </c>
      <c r="G10" s="22" t="n">
        <f aca="false">IFERROR(F10/D10,0)</f>
        <v>0.8</v>
      </c>
      <c r="H10" s="23" t="n">
        <v>0.54</v>
      </c>
      <c r="I10" s="24" t="n">
        <v>28869</v>
      </c>
    </row>
    <row r="11" customFormat="false" ht="15" hidden="false" customHeight="false" outlineLevel="0" collapsed="false">
      <c r="A11" s="25" t="s">
        <v>47</v>
      </c>
      <c r="B11" s="25" t="s">
        <v>54</v>
      </c>
      <c r="C11" s="25" t="s">
        <v>53</v>
      </c>
      <c r="D11" s="26" t="n">
        <v>32</v>
      </c>
      <c r="E11" s="26" t="n">
        <v>10</v>
      </c>
      <c r="F11" s="26" t="n">
        <f aca="false">D11-E11</f>
        <v>22</v>
      </c>
      <c r="G11" s="27" t="n">
        <f aca="false">IFERROR(F11/D11,0)</f>
        <v>0.6875</v>
      </c>
      <c r="H11" s="28" t="n">
        <v>0.52</v>
      </c>
      <c r="I11" s="29" t="n">
        <v>22829</v>
      </c>
    </row>
    <row r="12" customFormat="false" ht="15" hidden="false" customHeight="false" outlineLevel="0" collapsed="false">
      <c r="A12" s="20" t="s">
        <v>47</v>
      </c>
      <c r="B12" s="20" t="s">
        <v>55</v>
      </c>
      <c r="C12" s="20" t="s">
        <v>49</v>
      </c>
      <c r="D12" s="21" t="n">
        <v>30</v>
      </c>
      <c r="E12" s="21" t="n">
        <v>5</v>
      </c>
      <c r="F12" s="21" t="n">
        <f aca="false">D12-E12</f>
        <v>25</v>
      </c>
      <c r="G12" s="22" t="n">
        <f aca="false">IFERROR(F12/D12,0)</f>
        <v>0.833333333333333</v>
      </c>
      <c r="H12" s="23" t="n">
        <v>0.77</v>
      </c>
      <c r="I12" s="24" t="n">
        <v>17198</v>
      </c>
    </row>
    <row r="13" customFormat="false" ht="15" hidden="false" customHeight="false" outlineLevel="0" collapsed="false">
      <c r="A13" s="25" t="s">
        <v>47</v>
      </c>
      <c r="B13" s="25" t="s">
        <v>55</v>
      </c>
      <c r="C13" s="25" t="s">
        <v>50</v>
      </c>
      <c r="D13" s="26" t="n">
        <v>41</v>
      </c>
      <c r="E13" s="26" t="n">
        <v>19</v>
      </c>
      <c r="F13" s="26" t="n">
        <f aca="false">D13-E13</f>
        <v>22</v>
      </c>
      <c r="G13" s="27" t="n">
        <f aca="false">IFERROR(F13/D13,0)</f>
        <v>0.536585365853659</v>
      </c>
      <c r="H13" s="28" t="n">
        <v>0.59</v>
      </c>
      <c r="I13" s="29" t="n">
        <v>12383</v>
      </c>
    </row>
    <row r="14" customFormat="false" ht="15" hidden="false" customHeight="false" outlineLevel="0" collapsed="false">
      <c r="A14" s="20" t="s">
        <v>47</v>
      </c>
      <c r="B14" s="20" t="s">
        <v>55</v>
      </c>
      <c r="C14" s="20" t="s">
        <v>51</v>
      </c>
      <c r="D14" s="21" t="n">
        <v>37</v>
      </c>
      <c r="E14" s="21" t="n">
        <v>19</v>
      </c>
      <c r="F14" s="21" t="n">
        <f aca="false">D14-E14</f>
        <v>18</v>
      </c>
      <c r="G14" s="22" t="n">
        <f aca="false">IFERROR(F14/D14,0)</f>
        <v>0.486486486486487</v>
      </c>
      <c r="H14" s="23" t="n">
        <v>0.59</v>
      </c>
      <c r="I14" s="24" t="n">
        <v>10558</v>
      </c>
    </row>
    <row r="15" customFormat="false" ht="15" hidden="false" customHeight="false" outlineLevel="0" collapsed="false">
      <c r="A15" s="25" t="s">
        <v>47</v>
      </c>
      <c r="B15" s="25" t="s">
        <v>55</v>
      </c>
      <c r="C15" s="25" t="s">
        <v>52</v>
      </c>
      <c r="D15" s="26" t="n">
        <v>28</v>
      </c>
      <c r="E15" s="26" t="n">
        <v>10</v>
      </c>
      <c r="F15" s="26" t="n">
        <f aca="false">D15-E15</f>
        <v>18</v>
      </c>
      <c r="G15" s="27" t="n">
        <f aca="false">IFERROR(F15/D15,0)</f>
        <v>0.642857142857143</v>
      </c>
      <c r="H15" s="28" t="n">
        <v>0.55</v>
      </c>
      <c r="I15" s="29" t="n">
        <v>19008</v>
      </c>
    </row>
    <row r="16" customFormat="false" ht="15" hidden="false" customHeight="false" outlineLevel="0" collapsed="false">
      <c r="A16" s="20" t="s">
        <v>47</v>
      </c>
      <c r="B16" s="20" t="s">
        <v>55</v>
      </c>
      <c r="C16" s="20" t="s">
        <v>53</v>
      </c>
      <c r="D16" s="21" t="n">
        <v>57</v>
      </c>
      <c r="E16" s="21" t="n">
        <v>19</v>
      </c>
      <c r="F16" s="21" t="n">
        <f aca="false">D16-E16</f>
        <v>38</v>
      </c>
      <c r="G16" s="22" t="n">
        <f aca="false">IFERROR(F16/D16,0)</f>
        <v>0.666666666666667</v>
      </c>
      <c r="H16" s="23" t="n">
        <v>0.68</v>
      </c>
      <c r="I16" s="24" t="n">
        <v>13263</v>
      </c>
    </row>
    <row r="17" customFormat="false" ht="15" hidden="false" customHeight="false" outlineLevel="0" collapsed="false">
      <c r="A17" s="25" t="s">
        <v>47</v>
      </c>
      <c r="B17" s="25" t="s">
        <v>56</v>
      </c>
      <c r="C17" s="25" t="s">
        <v>49</v>
      </c>
      <c r="D17" s="26" t="n">
        <v>25</v>
      </c>
      <c r="E17" s="26" t="n">
        <v>10</v>
      </c>
      <c r="F17" s="26" t="n">
        <f aca="false">D17-E17</f>
        <v>15</v>
      </c>
      <c r="G17" s="27" t="n">
        <f aca="false">IFERROR(F17/D17,0)</f>
        <v>0.6</v>
      </c>
      <c r="H17" s="28" t="n">
        <v>0.77</v>
      </c>
      <c r="I17" s="29" t="n">
        <v>18050</v>
      </c>
    </row>
    <row r="18" customFormat="false" ht="15" hidden="false" customHeight="false" outlineLevel="0" collapsed="false">
      <c r="A18" s="20" t="s">
        <v>47</v>
      </c>
      <c r="B18" s="20" t="s">
        <v>56</v>
      </c>
      <c r="C18" s="20" t="s">
        <v>50</v>
      </c>
      <c r="D18" s="21" t="n">
        <v>37</v>
      </c>
      <c r="E18" s="21" t="n">
        <v>23</v>
      </c>
      <c r="F18" s="21" t="n">
        <f aca="false">D18-E18</f>
        <v>14</v>
      </c>
      <c r="G18" s="22" t="n">
        <f aca="false">IFERROR(F18/D18,0)</f>
        <v>0.378378378378378</v>
      </c>
      <c r="H18" s="23" t="n">
        <v>0.71</v>
      </c>
      <c r="I18" s="24" t="n">
        <v>14259</v>
      </c>
    </row>
    <row r="19" customFormat="false" ht="15" hidden="false" customHeight="false" outlineLevel="0" collapsed="false">
      <c r="A19" s="25" t="s">
        <v>47</v>
      </c>
      <c r="B19" s="25" t="s">
        <v>56</v>
      </c>
      <c r="C19" s="25" t="s">
        <v>51</v>
      </c>
      <c r="D19" s="26" t="n">
        <v>38</v>
      </c>
      <c r="E19" s="26" t="n">
        <v>21</v>
      </c>
      <c r="F19" s="26" t="n">
        <f aca="false">D19-E19</f>
        <v>17</v>
      </c>
      <c r="G19" s="27" t="n">
        <f aca="false">IFERROR(F19/D19,0)</f>
        <v>0.447368421052632</v>
      </c>
      <c r="H19" s="28" t="n">
        <v>0.73</v>
      </c>
      <c r="I19" s="29" t="n">
        <v>11309</v>
      </c>
    </row>
    <row r="20" customFormat="false" ht="15" hidden="false" customHeight="false" outlineLevel="0" collapsed="false">
      <c r="A20" s="20" t="s">
        <v>47</v>
      </c>
      <c r="B20" s="20" t="s">
        <v>56</v>
      </c>
      <c r="C20" s="20" t="s">
        <v>52</v>
      </c>
      <c r="D20" s="21" t="n">
        <v>39</v>
      </c>
      <c r="E20" s="21" t="n">
        <v>19</v>
      </c>
      <c r="F20" s="21" t="n">
        <f aca="false">D20-E20</f>
        <v>20</v>
      </c>
      <c r="G20" s="22" t="n">
        <f aca="false">IFERROR(F20/D20,0)</f>
        <v>0.512820512820513</v>
      </c>
      <c r="H20" s="23" t="n">
        <v>0.67</v>
      </c>
      <c r="I20" s="24" t="n">
        <v>21044</v>
      </c>
    </row>
    <row r="21" customFormat="false" ht="15" hidden="false" customHeight="false" outlineLevel="0" collapsed="false">
      <c r="A21" s="25" t="s">
        <v>47</v>
      </c>
      <c r="B21" s="25" t="s">
        <v>56</v>
      </c>
      <c r="C21" s="25" t="s">
        <v>53</v>
      </c>
      <c r="D21" s="26" t="n">
        <v>121</v>
      </c>
      <c r="E21" s="26" t="n">
        <v>84</v>
      </c>
      <c r="F21" s="26" t="n">
        <f aca="false">D21-E21</f>
        <v>37</v>
      </c>
      <c r="G21" s="27" t="n">
        <f aca="false">IFERROR(F21/D21,0)</f>
        <v>0.305785123966942</v>
      </c>
      <c r="H21" s="28" t="n">
        <v>0.67</v>
      </c>
      <c r="I21" s="29" t="n">
        <v>13124</v>
      </c>
    </row>
    <row r="22" customFormat="false" ht="15" hidden="false" customHeight="false" outlineLevel="0" collapsed="false">
      <c r="A22" s="20" t="s">
        <v>47</v>
      </c>
      <c r="B22" s="20" t="s">
        <v>57</v>
      </c>
      <c r="C22" s="20" t="s">
        <v>49</v>
      </c>
      <c r="D22" s="21" t="n">
        <v>26</v>
      </c>
      <c r="E22" s="21" t="n">
        <v>3</v>
      </c>
      <c r="F22" s="21" t="n">
        <f aca="false">D22-E22</f>
        <v>23</v>
      </c>
      <c r="G22" s="22" t="n">
        <f aca="false">IFERROR(F22/D22,0)</f>
        <v>0.884615384615385</v>
      </c>
      <c r="H22" s="23" t="n">
        <v>0.54</v>
      </c>
      <c r="I22" s="24" t="n">
        <v>22541</v>
      </c>
    </row>
    <row r="23" customFormat="false" ht="15" hidden="false" customHeight="false" outlineLevel="0" collapsed="false">
      <c r="A23" s="25" t="s">
        <v>47</v>
      </c>
      <c r="B23" s="25" t="s">
        <v>57</v>
      </c>
      <c r="C23" s="25" t="s">
        <v>50</v>
      </c>
      <c r="D23" s="26" t="n">
        <v>37</v>
      </c>
      <c r="E23" s="26" t="n">
        <v>8</v>
      </c>
      <c r="F23" s="26" t="n">
        <f aca="false">D23-E23</f>
        <v>29</v>
      </c>
      <c r="G23" s="27" t="n">
        <f aca="false">IFERROR(F23/D23,0)</f>
        <v>0.783783783783784</v>
      </c>
      <c r="H23" s="28" t="n">
        <v>0.6</v>
      </c>
      <c r="I23" s="29" t="n">
        <v>16782</v>
      </c>
    </row>
    <row r="24" customFormat="false" ht="15" hidden="false" customHeight="false" outlineLevel="0" collapsed="false">
      <c r="A24" s="20" t="s">
        <v>47</v>
      </c>
      <c r="B24" s="20" t="s">
        <v>57</v>
      </c>
      <c r="C24" s="20" t="s">
        <v>51</v>
      </c>
      <c r="D24" s="21" t="n">
        <v>20</v>
      </c>
      <c r="E24" s="21" t="n">
        <v>3</v>
      </c>
      <c r="F24" s="21" t="n">
        <f aca="false">D24-E24</f>
        <v>17</v>
      </c>
      <c r="G24" s="22" t="n">
        <f aca="false">IFERROR(F24/D24,0)</f>
        <v>0.85</v>
      </c>
      <c r="H24" s="23" t="n">
        <v>0.56</v>
      </c>
      <c r="I24" s="24" t="n">
        <v>13518</v>
      </c>
    </row>
    <row r="25" customFormat="false" ht="15" hidden="false" customHeight="false" outlineLevel="0" collapsed="false">
      <c r="A25" s="25" t="s">
        <v>47</v>
      </c>
      <c r="B25" s="25" t="s">
        <v>57</v>
      </c>
      <c r="C25" s="25" t="s">
        <v>52</v>
      </c>
      <c r="D25" s="26" t="n">
        <v>28</v>
      </c>
      <c r="E25" s="26" t="n">
        <v>6</v>
      </c>
      <c r="F25" s="26" t="n">
        <f aca="false">D25-E25</f>
        <v>22</v>
      </c>
      <c r="G25" s="27" t="n">
        <f aca="false">IFERROR(F25/D25,0)</f>
        <v>0.785714285714286</v>
      </c>
      <c r="H25" s="28" t="n">
        <v>0.41</v>
      </c>
      <c r="I25" s="29" t="n">
        <v>24332</v>
      </c>
    </row>
    <row r="26" customFormat="false" ht="15" hidden="false" customHeight="false" outlineLevel="0" collapsed="false">
      <c r="A26" s="20" t="s">
        <v>47</v>
      </c>
      <c r="B26" s="20" t="s">
        <v>57</v>
      </c>
      <c r="C26" s="20" t="s">
        <v>53</v>
      </c>
      <c r="D26" s="21" t="n">
        <v>75</v>
      </c>
      <c r="E26" s="21" t="n">
        <v>14</v>
      </c>
      <c r="F26" s="21" t="n">
        <f aca="false">D26-E26</f>
        <v>61</v>
      </c>
      <c r="G26" s="22" t="n">
        <f aca="false">IFERROR(F26/D26,0)</f>
        <v>0.813333333333333</v>
      </c>
      <c r="H26" s="23" t="n">
        <v>0.46</v>
      </c>
      <c r="I26" s="24" t="n">
        <v>18282</v>
      </c>
    </row>
    <row r="27" customFormat="false" ht="15" hidden="false" customHeight="false" outlineLevel="0" collapsed="false">
      <c r="A27" s="25" t="s">
        <v>47</v>
      </c>
      <c r="B27" s="25" t="s">
        <v>58</v>
      </c>
      <c r="C27" s="25" t="s">
        <v>49</v>
      </c>
      <c r="D27" s="26" t="n">
        <v>61</v>
      </c>
      <c r="E27" s="26" t="n">
        <v>19</v>
      </c>
      <c r="F27" s="26" t="n">
        <f aca="false">D27-E27</f>
        <v>42</v>
      </c>
      <c r="G27" s="27" t="n">
        <f aca="false">IFERROR(F27/D27,0)</f>
        <v>0.688524590163934</v>
      </c>
      <c r="H27" s="28" t="n">
        <v>0.62</v>
      </c>
      <c r="I27" s="29" t="n">
        <v>15850</v>
      </c>
    </row>
    <row r="28" customFormat="false" ht="15" hidden="false" customHeight="false" outlineLevel="0" collapsed="false">
      <c r="A28" s="20" t="s">
        <v>47</v>
      </c>
      <c r="B28" s="20" t="s">
        <v>58</v>
      </c>
      <c r="C28" s="20" t="s">
        <v>50</v>
      </c>
      <c r="D28" s="21" t="n">
        <v>40</v>
      </c>
      <c r="E28" s="21" t="n">
        <v>23</v>
      </c>
      <c r="F28" s="21" t="n">
        <f aca="false">D28-E28</f>
        <v>17</v>
      </c>
      <c r="G28" s="22" t="n">
        <f aca="false">IFERROR(F28/D28,0)</f>
        <v>0.425</v>
      </c>
      <c r="H28" s="23" t="n">
        <v>0.61</v>
      </c>
      <c r="I28" s="24" t="n">
        <v>12044</v>
      </c>
    </row>
    <row r="29" customFormat="false" ht="15" hidden="false" customHeight="false" outlineLevel="0" collapsed="false">
      <c r="A29" s="25" t="s">
        <v>47</v>
      </c>
      <c r="B29" s="25" t="s">
        <v>58</v>
      </c>
      <c r="C29" s="25" t="s">
        <v>51</v>
      </c>
      <c r="D29" s="26" t="n">
        <v>166</v>
      </c>
      <c r="E29" s="26" t="n">
        <v>99</v>
      </c>
      <c r="F29" s="26" t="n">
        <f aca="false">D29-E29</f>
        <v>67</v>
      </c>
      <c r="G29" s="27" t="n">
        <f aca="false">IFERROR(F29/D29,0)</f>
        <v>0.403614457831325</v>
      </c>
      <c r="H29" s="28" t="n">
        <v>0.79</v>
      </c>
      <c r="I29" s="29" t="n">
        <v>9671</v>
      </c>
    </row>
    <row r="30" customFormat="false" ht="15" hidden="false" customHeight="false" outlineLevel="0" collapsed="false">
      <c r="A30" s="20" t="s">
        <v>47</v>
      </c>
      <c r="B30" s="20" t="s">
        <v>58</v>
      </c>
      <c r="C30" s="20" t="s">
        <v>52</v>
      </c>
      <c r="D30" s="21" t="n">
        <v>54</v>
      </c>
      <c r="E30" s="21" t="n">
        <v>27</v>
      </c>
      <c r="F30" s="21" t="n">
        <f aca="false">D30-E30</f>
        <v>27</v>
      </c>
      <c r="G30" s="22" t="n">
        <f aca="false">IFERROR(F30/D30,0)</f>
        <v>0.5</v>
      </c>
      <c r="H30" s="23" t="n">
        <v>0.82</v>
      </c>
      <c r="I30" s="24" t="n">
        <v>16524</v>
      </c>
    </row>
    <row r="31" customFormat="false" ht="15" hidden="false" customHeight="false" outlineLevel="0" collapsed="false">
      <c r="A31" s="25" t="s">
        <v>47</v>
      </c>
      <c r="B31" s="25" t="s">
        <v>58</v>
      </c>
      <c r="C31" s="25" t="s">
        <v>53</v>
      </c>
      <c r="D31" s="26" t="n">
        <v>82</v>
      </c>
      <c r="E31" s="26" t="n">
        <v>36</v>
      </c>
      <c r="F31" s="26" t="n">
        <f aca="false">D31-E31</f>
        <v>46</v>
      </c>
      <c r="G31" s="27" t="n">
        <f aca="false">IFERROR(F31/D31,0)</f>
        <v>0.560975609756098</v>
      </c>
      <c r="H31" s="28" t="n">
        <v>0.68</v>
      </c>
      <c r="I31" s="29" t="n">
        <v>12497</v>
      </c>
    </row>
    <row r="32" customFormat="false" ht="15" hidden="false" customHeight="false" outlineLevel="0" collapsed="false">
      <c r="A32" s="20" t="s">
        <v>59</v>
      </c>
      <c r="B32" s="20" t="s">
        <v>48</v>
      </c>
      <c r="C32" s="20" t="s">
        <v>49</v>
      </c>
      <c r="D32" s="21" t="n">
        <v>2025</v>
      </c>
      <c r="E32" s="21" t="n">
        <v>764</v>
      </c>
      <c r="F32" s="21" t="n">
        <f aca="false">D32-E32</f>
        <v>1261</v>
      </c>
      <c r="G32" s="22" t="n">
        <f aca="false">IFERROR(F32/D32,0)</f>
        <v>0.622716049382716</v>
      </c>
      <c r="H32" s="23" t="n">
        <v>0.73</v>
      </c>
      <c r="I32" s="24" t="n">
        <v>14905</v>
      </c>
    </row>
    <row r="33" customFormat="false" ht="15" hidden="false" customHeight="false" outlineLevel="0" collapsed="false">
      <c r="A33" s="25" t="s">
        <v>59</v>
      </c>
      <c r="B33" s="25" t="s">
        <v>48</v>
      </c>
      <c r="C33" s="25" t="s">
        <v>50</v>
      </c>
      <c r="D33" s="26" t="n">
        <v>3123</v>
      </c>
      <c r="E33" s="26" t="n">
        <v>1316</v>
      </c>
      <c r="F33" s="26" t="n">
        <f aca="false">D33-E33</f>
        <v>1807</v>
      </c>
      <c r="G33" s="27" t="n">
        <f aca="false">IFERROR(F33/D33,0)</f>
        <v>0.578610310598783</v>
      </c>
      <c r="H33" s="28" t="n">
        <v>0.72</v>
      </c>
      <c r="I33" s="29" t="n">
        <v>11172</v>
      </c>
    </row>
    <row r="34" customFormat="false" ht="15" hidden="false" customHeight="false" outlineLevel="0" collapsed="false">
      <c r="A34" s="20" t="s">
        <v>59</v>
      </c>
      <c r="B34" s="20" t="s">
        <v>48</v>
      </c>
      <c r="C34" s="20" t="s">
        <v>51</v>
      </c>
      <c r="D34" s="21" t="n">
        <v>2833</v>
      </c>
      <c r="E34" s="21" t="n">
        <v>1146</v>
      </c>
      <c r="F34" s="21" t="n">
        <f aca="false">D34-E34</f>
        <v>1687</v>
      </c>
      <c r="G34" s="22" t="n">
        <f aca="false">IFERROR(F34/D34,0)</f>
        <v>0.595481821390752</v>
      </c>
      <c r="H34" s="23" t="n">
        <v>0.83</v>
      </c>
      <c r="I34" s="24" t="n">
        <v>10818</v>
      </c>
    </row>
    <row r="35" customFormat="false" ht="15" hidden="false" customHeight="false" outlineLevel="0" collapsed="false">
      <c r="A35" s="25" t="s">
        <v>59</v>
      </c>
      <c r="B35" s="25" t="s">
        <v>48</v>
      </c>
      <c r="C35" s="25" t="s">
        <v>52</v>
      </c>
      <c r="D35" s="26" t="n">
        <v>3070</v>
      </c>
      <c r="E35" s="26" t="n">
        <v>1464</v>
      </c>
      <c r="F35" s="26" t="n">
        <f aca="false">D35-E35</f>
        <v>1606</v>
      </c>
      <c r="G35" s="27" t="n">
        <f aca="false">IFERROR(F35/D35,0)</f>
        <v>0.523127035830619</v>
      </c>
      <c r="H35" s="28" t="n">
        <v>0.61</v>
      </c>
      <c r="I35" s="29" t="n">
        <v>18452</v>
      </c>
    </row>
    <row r="36" customFormat="false" ht="15" hidden="false" customHeight="false" outlineLevel="0" collapsed="false">
      <c r="A36" s="20" t="s">
        <v>59</v>
      </c>
      <c r="B36" s="20" t="s">
        <v>48</v>
      </c>
      <c r="C36" s="20" t="s">
        <v>53</v>
      </c>
      <c r="D36" s="21" t="n">
        <v>8464</v>
      </c>
      <c r="E36" s="21" t="n">
        <v>4737</v>
      </c>
      <c r="F36" s="21" t="n">
        <f aca="false">D36-E36</f>
        <v>3727</v>
      </c>
      <c r="G36" s="22" t="n">
        <f aca="false">IFERROR(F36/D36,0)</f>
        <v>0.440335538752363</v>
      </c>
      <c r="H36" s="23" t="n">
        <v>0.75</v>
      </c>
      <c r="I36" s="24" t="n">
        <v>11900</v>
      </c>
    </row>
    <row r="37" customFormat="false" ht="15" hidden="false" customHeight="false" outlineLevel="0" collapsed="false">
      <c r="A37" s="25" t="s">
        <v>59</v>
      </c>
      <c r="B37" s="25" t="s">
        <v>54</v>
      </c>
      <c r="C37" s="25" t="s">
        <v>49</v>
      </c>
      <c r="D37" s="26" t="n">
        <v>5811</v>
      </c>
      <c r="E37" s="26" t="n">
        <v>1194</v>
      </c>
      <c r="F37" s="26" t="n">
        <f aca="false">D37-E37</f>
        <v>4617</v>
      </c>
      <c r="G37" s="27" t="n">
        <f aca="false">IFERROR(F37/D37,0)</f>
        <v>0.794527620030976</v>
      </c>
      <c r="H37" s="28" t="n">
        <v>0.53</v>
      </c>
      <c r="I37" s="29" t="n">
        <v>29174</v>
      </c>
    </row>
    <row r="38" customFormat="false" ht="15" hidden="false" customHeight="false" outlineLevel="0" collapsed="false">
      <c r="A38" s="20" t="s">
        <v>59</v>
      </c>
      <c r="B38" s="20" t="s">
        <v>54</v>
      </c>
      <c r="C38" s="20" t="s">
        <v>50</v>
      </c>
      <c r="D38" s="21" t="n">
        <v>1155</v>
      </c>
      <c r="E38" s="21" t="n">
        <v>346</v>
      </c>
      <c r="F38" s="21" t="n">
        <f aca="false">D38-E38</f>
        <v>809</v>
      </c>
      <c r="G38" s="22" t="n">
        <f aca="false">IFERROR(F38/D38,0)</f>
        <v>0.7004329004329</v>
      </c>
      <c r="H38" s="23" t="n">
        <v>0.39</v>
      </c>
      <c r="I38" s="24" t="n">
        <v>22386</v>
      </c>
    </row>
    <row r="39" customFormat="false" ht="15" hidden="false" customHeight="false" outlineLevel="0" collapsed="false">
      <c r="A39" s="25" t="s">
        <v>59</v>
      </c>
      <c r="B39" s="25" t="s">
        <v>54</v>
      </c>
      <c r="C39" s="25" t="s">
        <v>51</v>
      </c>
      <c r="D39" s="26" t="n">
        <v>1812</v>
      </c>
      <c r="E39" s="26" t="n">
        <v>459</v>
      </c>
      <c r="F39" s="26" t="n">
        <f aca="false">D39-E39</f>
        <v>1353</v>
      </c>
      <c r="G39" s="27" t="n">
        <f aca="false">IFERROR(F39/D39,0)</f>
        <v>0.746688741721854</v>
      </c>
      <c r="H39" s="28" t="n">
        <v>0.51</v>
      </c>
      <c r="I39" s="29" t="n">
        <v>16740</v>
      </c>
    </row>
    <row r="40" customFormat="false" ht="15" hidden="false" customHeight="false" outlineLevel="0" collapsed="false">
      <c r="A40" s="20" t="s">
        <v>59</v>
      </c>
      <c r="B40" s="20" t="s">
        <v>54</v>
      </c>
      <c r="C40" s="20" t="s">
        <v>52</v>
      </c>
      <c r="D40" s="21" t="n">
        <v>1188</v>
      </c>
      <c r="E40" s="21" t="n">
        <v>345</v>
      </c>
      <c r="F40" s="21" t="n">
        <f aca="false">D40-E40</f>
        <v>843</v>
      </c>
      <c r="G40" s="22" t="n">
        <f aca="false">IFERROR(F40/D40,0)</f>
        <v>0.70959595959596</v>
      </c>
      <c r="H40" s="23" t="n">
        <v>0.59</v>
      </c>
      <c r="I40" s="24" t="n">
        <v>32281</v>
      </c>
    </row>
    <row r="41" customFormat="false" ht="15" hidden="false" customHeight="false" outlineLevel="0" collapsed="false">
      <c r="A41" s="25" t="s">
        <v>59</v>
      </c>
      <c r="B41" s="25" t="s">
        <v>54</v>
      </c>
      <c r="C41" s="25" t="s">
        <v>53</v>
      </c>
      <c r="D41" s="26" t="n">
        <v>2234</v>
      </c>
      <c r="E41" s="26" t="n">
        <v>617</v>
      </c>
      <c r="F41" s="26" t="n">
        <f aca="false">D41-E41</f>
        <v>1617</v>
      </c>
      <c r="G41" s="27" t="n">
        <f aca="false">IFERROR(F41/D41,0)</f>
        <v>0.723813786929275</v>
      </c>
      <c r="H41" s="28" t="n">
        <v>0.6</v>
      </c>
      <c r="I41" s="29" t="n">
        <v>22152</v>
      </c>
    </row>
    <row r="42" customFormat="false" ht="15" hidden="false" customHeight="false" outlineLevel="0" collapsed="false">
      <c r="A42" s="20" t="s">
        <v>59</v>
      </c>
      <c r="B42" s="20" t="s">
        <v>55</v>
      </c>
      <c r="C42" s="20" t="s">
        <v>49</v>
      </c>
      <c r="D42" s="21" t="n">
        <v>2434</v>
      </c>
      <c r="E42" s="21" t="n">
        <v>565</v>
      </c>
      <c r="F42" s="21" t="n">
        <f aca="false">D42-E42</f>
        <v>1869</v>
      </c>
      <c r="G42" s="22" t="n">
        <f aca="false">IFERROR(F42/D42,0)</f>
        <v>0.767871815940838</v>
      </c>
      <c r="H42" s="23" t="n">
        <v>0.62</v>
      </c>
      <c r="I42" s="24" t="n">
        <v>18053</v>
      </c>
    </row>
    <row r="43" customFormat="false" ht="15" hidden="false" customHeight="false" outlineLevel="0" collapsed="false">
      <c r="A43" s="25" t="s">
        <v>59</v>
      </c>
      <c r="B43" s="25" t="s">
        <v>55</v>
      </c>
      <c r="C43" s="25" t="s">
        <v>50</v>
      </c>
      <c r="D43" s="26" t="n">
        <v>3348</v>
      </c>
      <c r="E43" s="26" t="n">
        <v>1577</v>
      </c>
      <c r="F43" s="26" t="n">
        <f aca="false">D43-E43</f>
        <v>1771</v>
      </c>
      <c r="G43" s="27" t="n">
        <f aca="false">IFERROR(F43/D43,0)</f>
        <v>0.528972520908005</v>
      </c>
      <c r="H43" s="28" t="n">
        <v>0.76</v>
      </c>
      <c r="I43" s="29" t="n">
        <v>13051</v>
      </c>
    </row>
    <row r="44" customFormat="false" ht="15" hidden="false" customHeight="false" outlineLevel="0" collapsed="false">
      <c r="A44" s="20" t="s">
        <v>59</v>
      </c>
      <c r="B44" s="20" t="s">
        <v>55</v>
      </c>
      <c r="C44" s="20" t="s">
        <v>51</v>
      </c>
      <c r="D44" s="21" t="n">
        <v>3396</v>
      </c>
      <c r="E44" s="21" t="n">
        <v>1535</v>
      </c>
      <c r="F44" s="21" t="n">
        <f aca="false">D44-E44</f>
        <v>1861</v>
      </c>
      <c r="G44" s="22" t="n">
        <f aca="false">IFERROR(F44/D44,0)</f>
        <v>0.547997644287397</v>
      </c>
      <c r="H44" s="23" t="n">
        <v>0.59</v>
      </c>
      <c r="I44" s="24" t="n">
        <v>11014</v>
      </c>
    </row>
    <row r="45" customFormat="false" ht="15" hidden="false" customHeight="false" outlineLevel="0" collapsed="false">
      <c r="A45" s="25" t="s">
        <v>59</v>
      </c>
      <c r="B45" s="25" t="s">
        <v>55</v>
      </c>
      <c r="C45" s="25" t="s">
        <v>52</v>
      </c>
      <c r="D45" s="26" t="n">
        <v>2354</v>
      </c>
      <c r="E45" s="26" t="n">
        <v>929</v>
      </c>
      <c r="F45" s="26" t="n">
        <f aca="false">D45-E45</f>
        <v>1425</v>
      </c>
      <c r="G45" s="27" t="n">
        <f aca="false">IFERROR(F45/D45,0)</f>
        <v>0.6053525913339</v>
      </c>
      <c r="H45" s="28" t="n">
        <v>0.8</v>
      </c>
      <c r="I45" s="29" t="n">
        <v>18530</v>
      </c>
    </row>
    <row r="46" customFormat="false" ht="15" hidden="false" customHeight="false" outlineLevel="0" collapsed="false">
      <c r="A46" s="20" t="s">
        <v>59</v>
      </c>
      <c r="B46" s="20" t="s">
        <v>55</v>
      </c>
      <c r="C46" s="20" t="s">
        <v>53</v>
      </c>
      <c r="D46" s="21" t="n">
        <v>4763</v>
      </c>
      <c r="E46" s="21" t="n">
        <v>1549</v>
      </c>
      <c r="F46" s="21" t="n">
        <f aca="false">D46-E46</f>
        <v>3214</v>
      </c>
      <c r="G46" s="22" t="n">
        <f aca="false">IFERROR(F46/D46,0)</f>
        <v>0.674784799496116</v>
      </c>
      <c r="H46" s="23" t="n">
        <v>0.62</v>
      </c>
      <c r="I46" s="24" t="n">
        <v>13409</v>
      </c>
    </row>
    <row r="47" customFormat="false" ht="15" hidden="false" customHeight="false" outlineLevel="0" collapsed="false">
      <c r="A47" s="25" t="s">
        <v>59</v>
      </c>
      <c r="B47" s="25" t="s">
        <v>56</v>
      </c>
      <c r="C47" s="25" t="s">
        <v>49</v>
      </c>
      <c r="D47" s="26" t="n">
        <v>2143</v>
      </c>
      <c r="E47" s="26" t="n">
        <v>818</v>
      </c>
      <c r="F47" s="26" t="n">
        <f aca="false">D47-E47</f>
        <v>1325</v>
      </c>
      <c r="G47" s="27" t="n">
        <f aca="false">IFERROR(F47/D47,0)</f>
        <v>0.618292113859076</v>
      </c>
      <c r="H47" s="28" t="n">
        <v>0.66</v>
      </c>
      <c r="I47" s="29" t="n">
        <v>16853</v>
      </c>
    </row>
    <row r="48" customFormat="false" ht="15" hidden="false" customHeight="false" outlineLevel="0" collapsed="false">
      <c r="A48" s="20" t="s">
        <v>59</v>
      </c>
      <c r="B48" s="20" t="s">
        <v>56</v>
      </c>
      <c r="C48" s="20" t="s">
        <v>50</v>
      </c>
      <c r="D48" s="21" t="n">
        <v>3281</v>
      </c>
      <c r="E48" s="21" t="n">
        <v>1481</v>
      </c>
      <c r="F48" s="21" t="n">
        <f aca="false">D48-E48</f>
        <v>1800</v>
      </c>
      <c r="G48" s="22" t="n">
        <f aca="false">IFERROR(F48/D48,0)</f>
        <v>0.54861322767449</v>
      </c>
      <c r="H48" s="23" t="n">
        <v>0.75</v>
      </c>
      <c r="I48" s="24" t="n">
        <v>13927</v>
      </c>
    </row>
    <row r="49" customFormat="false" ht="15" hidden="false" customHeight="false" outlineLevel="0" collapsed="false">
      <c r="A49" s="25" t="s">
        <v>59</v>
      </c>
      <c r="B49" s="25" t="s">
        <v>56</v>
      </c>
      <c r="C49" s="25" t="s">
        <v>51</v>
      </c>
      <c r="D49" s="26" t="n">
        <v>2985</v>
      </c>
      <c r="E49" s="26" t="n">
        <v>1720</v>
      </c>
      <c r="F49" s="26" t="n">
        <f aca="false">D49-E49</f>
        <v>1265</v>
      </c>
      <c r="G49" s="27" t="n">
        <f aca="false">IFERROR(F49/D49,0)</f>
        <v>0.423785594639866</v>
      </c>
      <c r="H49" s="28" t="n">
        <v>0.56</v>
      </c>
      <c r="I49" s="29" t="n">
        <v>10922</v>
      </c>
    </row>
    <row r="50" customFormat="false" ht="15" hidden="false" customHeight="false" outlineLevel="0" collapsed="false">
      <c r="A50" s="20" t="s">
        <v>59</v>
      </c>
      <c r="B50" s="20" t="s">
        <v>56</v>
      </c>
      <c r="C50" s="20" t="s">
        <v>52</v>
      </c>
      <c r="D50" s="21" t="n">
        <v>3201</v>
      </c>
      <c r="E50" s="21" t="n">
        <v>1876</v>
      </c>
      <c r="F50" s="21" t="n">
        <f aca="false">D50-E50</f>
        <v>1325</v>
      </c>
      <c r="G50" s="22" t="n">
        <f aca="false">IFERROR(F50/D50,0)</f>
        <v>0.413933145891909</v>
      </c>
      <c r="H50" s="23" t="n">
        <v>0.61</v>
      </c>
      <c r="I50" s="24" t="n">
        <v>19854</v>
      </c>
    </row>
    <row r="51" customFormat="false" ht="15" hidden="false" customHeight="false" outlineLevel="0" collapsed="false">
      <c r="A51" s="25" t="s">
        <v>59</v>
      </c>
      <c r="B51" s="25" t="s">
        <v>56</v>
      </c>
      <c r="C51" s="25" t="s">
        <v>53</v>
      </c>
      <c r="D51" s="26" t="n">
        <v>8667</v>
      </c>
      <c r="E51" s="26" t="n">
        <v>4496</v>
      </c>
      <c r="F51" s="26" t="n">
        <f aca="false">D51-E51</f>
        <v>4171</v>
      </c>
      <c r="G51" s="27" t="n">
        <f aca="false">IFERROR(F51/D51,0)</f>
        <v>0.481250721126111</v>
      </c>
      <c r="H51" s="28" t="n">
        <v>0.61</v>
      </c>
      <c r="I51" s="29" t="n">
        <v>14711</v>
      </c>
    </row>
    <row r="52" customFormat="false" ht="15" hidden="false" customHeight="false" outlineLevel="0" collapsed="false">
      <c r="A52" s="20" t="s">
        <v>59</v>
      </c>
      <c r="B52" s="20" t="s">
        <v>57</v>
      </c>
      <c r="C52" s="20" t="s">
        <v>49</v>
      </c>
      <c r="D52" s="21" t="n">
        <v>1220</v>
      </c>
      <c r="E52" s="21" t="n">
        <v>123</v>
      </c>
      <c r="F52" s="21" t="n">
        <f aca="false">D52-E52</f>
        <v>1097</v>
      </c>
      <c r="G52" s="22" t="n">
        <f aca="false">IFERROR(F52/D52,0)</f>
        <v>0.899180327868853</v>
      </c>
      <c r="H52" s="23" t="n">
        <v>0.63</v>
      </c>
      <c r="I52" s="24" t="n">
        <v>22128</v>
      </c>
    </row>
    <row r="53" customFormat="false" ht="15" hidden="false" customHeight="false" outlineLevel="0" collapsed="false">
      <c r="A53" s="25" t="s">
        <v>59</v>
      </c>
      <c r="B53" s="25" t="s">
        <v>57</v>
      </c>
      <c r="C53" s="25" t="s">
        <v>50</v>
      </c>
      <c r="D53" s="26" t="n">
        <v>1433</v>
      </c>
      <c r="E53" s="26" t="n">
        <v>143</v>
      </c>
      <c r="F53" s="26" t="n">
        <f aca="false">D53-E53</f>
        <v>1290</v>
      </c>
      <c r="G53" s="27" t="n">
        <f aca="false">IFERROR(F53/D53,0)</f>
        <v>0.900209351011863</v>
      </c>
      <c r="H53" s="28" t="n">
        <v>0.56</v>
      </c>
      <c r="I53" s="29" t="n">
        <v>17271</v>
      </c>
    </row>
    <row r="54" customFormat="false" ht="15" hidden="false" customHeight="false" outlineLevel="0" collapsed="false">
      <c r="A54" s="20" t="s">
        <v>59</v>
      </c>
      <c r="B54" s="20" t="s">
        <v>57</v>
      </c>
      <c r="C54" s="20" t="s">
        <v>51</v>
      </c>
      <c r="D54" s="21" t="n">
        <v>738</v>
      </c>
      <c r="E54" s="21" t="n">
        <v>108</v>
      </c>
      <c r="F54" s="21" t="n">
        <f aca="false">D54-E54</f>
        <v>630</v>
      </c>
      <c r="G54" s="22" t="n">
        <f aca="false">IFERROR(F54/D54,0)</f>
        <v>0.853658536585366</v>
      </c>
      <c r="H54" s="23" t="n">
        <v>0.47</v>
      </c>
      <c r="I54" s="24" t="n">
        <v>14214</v>
      </c>
    </row>
    <row r="55" customFormat="false" ht="15" hidden="false" customHeight="false" outlineLevel="0" collapsed="false">
      <c r="A55" s="25" t="s">
        <v>59</v>
      </c>
      <c r="B55" s="25" t="s">
        <v>57</v>
      </c>
      <c r="C55" s="25" t="s">
        <v>52</v>
      </c>
      <c r="D55" s="26" t="n">
        <v>1224</v>
      </c>
      <c r="E55" s="26" t="n">
        <v>184</v>
      </c>
      <c r="F55" s="26" t="n">
        <f aca="false">D55-E55</f>
        <v>1040</v>
      </c>
      <c r="G55" s="27" t="n">
        <f aca="false">IFERROR(F55/D55,0)</f>
        <v>0.849673202614379</v>
      </c>
      <c r="H55" s="28" t="n">
        <v>0.65</v>
      </c>
      <c r="I55" s="29" t="n">
        <v>23961</v>
      </c>
    </row>
    <row r="56" customFormat="false" ht="15" hidden="false" customHeight="false" outlineLevel="0" collapsed="false">
      <c r="A56" s="20" t="s">
        <v>59</v>
      </c>
      <c r="B56" s="20" t="s">
        <v>57</v>
      </c>
      <c r="C56" s="20" t="s">
        <v>53</v>
      </c>
      <c r="D56" s="21" t="n">
        <v>2839</v>
      </c>
      <c r="E56" s="21" t="n">
        <v>403</v>
      </c>
      <c r="F56" s="21" t="n">
        <f aca="false">D56-E56</f>
        <v>2436</v>
      </c>
      <c r="G56" s="22" t="n">
        <f aca="false">IFERROR(F56/D56,0)</f>
        <v>0.858048608665023</v>
      </c>
      <c r="H56" s="23" t="n">
        <v>0.45</v>
      </c>
      <c r="I56" s="24" t="n">
        <v>18552</v>
      </c>
    </row>
    <row r="57" customFormat="false" ht="15" hidden="false" customHeight="false" outlineLevel="0" collapsed="false">
      <c r="A57" s="25" t="s">
        <v>59</v>
      </c>
      <c r="B57" s="25" t="s">
        <v>58</v>
      </c>
      <c r="C57" s="25" t="s">
        <v>49</v>
      </c>
      <c r="D57" s="26" t="n">
        <v>2585</v>
      </c>
      <c r="E57" s="26" t="n">
        <v>974</v>
      </c>
      <c r="F57" s="26" t="n">
        <f aca="false">D57-E57</f>
        <v>1611</v>
      </c>
      <c r="G57" s="27" t="n">
        <f aca="false">IFERROR(F57/D57,0)</f>
        <v>0.62321083172147</v>
      </c>
      <c r="H57" s="28" t="n">
        <v>0.8</v>
      </c>
      <c r="I57" s="29" t="n">
        <v>16095</v>
      </c>
    </row>
    <row r="58" customFormat="false" ht="15" hidden="false" customHeight="false" outlineLevel="0" collapsed="false">
      <c r="A58" s="20" t="s">
        <v>59</v>
      </c>
      <c r="B58" s="20" t="s">
        <v>58</v>
      </c>
      <c r="C58" s="20" t="s">
        <v>50</v>
      </c>
      <c r="D58" s="21" t="n">
        <v>1902</v>
      </c>
      <c r="E58" s="21" t="n">
        <v>687</v>
      </c>
      <c r="F58" s="21" t="n">
        <f aca="false">D58-E58</f>
        <v>1215</v>
      </c>
      <c r="G58" s="22" t="n">
        <f aca="false">IFERROR(F58/D58,0)</f>
        <v>0.638801261829653</v>
      </c>
      <c r="H58" s="23" t="n">
        <v>0.66</v>
      </c>
      <c r="I58" s="24" t="n">
        <v>11112</v>
      </c>
    </row>
    <row r="59" customFormat="false" ht="15" hidden="false" customHeight="false" outlineLevel="0" collapsed="false">
      <c r="A59" s="25" t="s">
        <v>59</v>
      </c>
      <c r="B59" s="25" t="s">
        <v>58</v>
      </c>
      <c r="C59" s="25" t="s">
        <v>51</v>
      </c>
      <c r="D59" s="26" t="n">
        <v>7411</v>
      </c>
      <c r="E59" s="26" t="n">
        <v>4396</v>
      </c>
      <c r="F59" s="26" t="n">
        <f aca="false">D59-E59</f>
        <v>3015</v>
      </c>
      <c r="G59" s="27" t="n">
        <f aca="false">IFERROR(F59/D59,0)</f>
        <v>0.406827688571043</v>
      </c>
      <c r="H59" s="28" t="n">
        <v>0.69</v>
      </c>
      <c r="I59" s="29" t="n">
        <v>9856</v>
      </c>
    </row>
    <row r="60" customFormat="false" ht="15" hidden="false" customHeight="false" outlineLevel="0" collapsed="false">
      <c r="A60" s="20" t="s">
        <v>59</v>
      </c>
      <c r="B60" s="20" t="s">
        <v>58</v>
      </c>
      <c r="C60" s="20" t="s">
        <v>52</v>
      </c>
      <c r="D60" s="21" t="n">
        <v>2909</v>
      </c>
      <c r="E60" s="21" t="n">
        <v>1467</v>
      </c>
      <c r="F60" s="21" t="n">
        <f aca="false">D60-E60</f>
        <v>1442</v>
      </c>
      <c r="G60" s="22" t="n">
        <f aca="false">IFERROR(F60/D60,0)</f>
        <v>0.49570299071846</v>
      </c>
      <c r="H60" s="23" t="n">
        <v>0.82</v>
      </c>
      <c r="I60" s="24" t="n">
        <v>16881</v>
      </c>
    </row>
    <row r="61" customFormat="false" ht="15" hidden="false" customHeight="false" outlineLevel="0" collapsed="false">
      <c r="A61" s="25" t="s">
        <v>59</v>
      </c>
      <c r="B61" s="25" t="s">
        <v>58</v>
      </c>
      <c r="C61" s="25" t="s">
        <v>53</v>
      </c>
      <c r="D61" s="26" t="n">
        <v>3481</v>
      </c>
      <c r="E61" s="26" t="n">
        <v>2051</v>
      </c>
      <c r="F61" s="26" t="n">
        <f aca="false">D61-E61</f>
        <v>1430</v>
      </c>
      <c r="G61" s="27" t="n">
        <f aca="false">IFERROR(F61/D61,0)</f>
        <v>0.410801493823614</v>
      </c>
      <c r="H61" s="28" t="n">
        <v>0.68</v>
      </c>
      <c r="I61" s="29" t="n">
        <v>11288</v>
      </c>
    </row>
    <row r="62" customFormat="false" ht="15" hidden="false" customHeight="false" outlineLevel="0" collapsed="false">
      <c r="A62" s="20" t="s">
        <v>60</v>
      </c>
      <c r="B62" s="20" t="s">
        <v>48</v>
      </c>
      <c r="C62" s="20" t="s">
        <v>49</v>
      </c>
      <c r="D62" s="21" t="n">
        <v>96</v>
      </c>
      <c r="E62" s="21" t="n">
        <v>30</v>
      </c>
      <c r="F62" s="21" t="n">
        <f aca="false">D62-E62</f>
        <v>66</v>
      </c>
      <c r="G62" s="22" t="n">
        <f aca="false">IFERROR(F62/D62,0)</f>
        <v>0.6875</v>
      </c>
      <c r="H62" s="23" t="n">
        <v>0.77</v>
      </c>
      <c r="I62" s="24" t="n">
        <v>16891</v>
      </c>
    </row>
    <row r="63" customFormat="false" ht="15" hidden="false" customHeight="false" outlineLevel="0" collapsed="false">
      <c r="A63" s="25" t="s">
        <v>60</v>
      </c>
      <c r="B63" s="25" t="s">
        <v>48</v>
      </c>
      <c r="C63" s="25" t="s">
        <v>50</v>
      </c>
      <c r="D63" s="26" t="n">
        <v>136</v>
      </c>
      <c r="E63" s="26" t="n">
        <v>77</v>
      </c>
      <c r="F63" s="26" t="n">
        <f aca="false">D63-E63</f>
        <v>59</v>
      </c>
      <c r="G63" s="27" t="n">
        <f aca="false">IFERROR(F63/D63,0)</f>
        <v>0.433823529411765</v>
      </c>
      <c r="H63" s="28" t="n">
        <v>0.84</v>
      </c>
      <c r="I63" s="29" t="n">
        <v>11801</v>
      </c>
    </row>
    <row r="64" customFormat="false" ht="15" hidden="false" customHeight="false" outlineLevel="0" collapsed="false">
      <c r="A64" s="20" t="s">
        <v>60</v>
      </c>
      <c r="B64" s="20" t="s">
        <v>48</v>
      </c>
      <c r="C64" s="20" t="s">
        <v>51</v>
      </c>
      <c r="D64" s="21" t="n">
        <v>133</v>
      </c>
      <c r="E64" s="21" t="n">
        <v>73</v>
      </c>
      <c r="F64" s="21" t="n">
        <f aca="false">D64-E64</f>
        <v>60</v>
      </c>
      <c r="G64" s="22" t="n">
        <f aca="false">IFERROR(F64/D64,0)</f>
        <v>0.451127819548872</v>
      </c>
      <c r="H64" s="23" t="n">
        <v>0.79</v>
      </c>
      <c r="I64" s="24" t="n">
        <v>9570</v>
      </c>
    </row>
    <row r="65" customFormat="false" ht="15" hidden="false" customHeight="false" outlineLevel="0" collapsed="false">
      <c r="A65" s="25" t="s">
        <v>60</v>
      </c>
      <c r="B65" s="25" t="s">
        <v>48</v>
      </c>
      <c r="C65" s="25" t="s">
        <v>52</v>
      </c>
      <c r="D65" s="26" t="n">
        <v>147</v>
      </c>
      <c r="E65" s="26" t="n">
        <v>94</v>
      </c>
      <c r="F65" s="26" t="n">
        <f aca="false">D65-E65</f>
        <v>53</v>
      </c>
      <c r="G65" s="27" t="n">
        <f aca="false">IFERROR(F65/D65,0)</f>
        <v>0.360544217687075</v>
      </c>
      <c r="H65" s="28" t="n">
        <v>0.63</v>
      </c>
      <c r="I65" s="29" t="n">
        <v>16079</v>
      </c>
    </row>
    <row r="66" customFormat="false" ht="15" hidden="false" customHeight="false" outlineLevel="0" collapsed="false">
      <c r="A66" s="20" t="s">
        <v>60</v>
      </c>
      <c r="B66" s="20" t="s">
        <v>48</v>
      </c>
      <c r="C66" s="20" t="s">
        <v>53</v>
      </c>
      <c r="D66" s="21" t="n">
        <v>401</v>
      </c>
      <c r="E66" s="21" t="n">
        <v>162</v>
      </c>
      <c r="F66" s="21" t="n">
        <f aca="false">D66-E66</f>
        <v>239</v>
      </c>
      <c r="G66" s="22" t="n">
        <f aca="false">IFERROR(F66/D66,0)</f>
        <v>0.596009975062344</v>
      </c>
      <c r="H66" s="23" t="n">
        <v>0.64</v>
      </c>
      <c r="I66" s="24" t="n">
        <v>11846</v>
      </c>
    </row>
    <row r="67" customFormat="false" ht="15" hidden="false" customHeight="false" outlineLevel="0" collapsed="false">
      <c r="A67" s="25" t="s">
        <v>60</v>
      </c>
      <c r="B67" s="25" t="s">
        <v>54</v>
      </c>
      <c r="C67" s="25" t="s">
        <v>49</v>
      </c>
      <c r="D67" s="26" t="n">
        <v>201</v>
      </c>
      <c r="E67" s="26" t="n">
        <v>29</v>
      </c>
      <c r="F67" s="26" t="n">
        <f aca="false">D67-E67</f>
        <v>172</v>
      </c>
      <c r="G67" s="27" t="n">
        <f aca="false">IFERROR(F67/D67,0)</f>
        <v>0.855721393034826</v>
      </c>
      <c r="H67" s="28" t="n">
        <v>0.54</v>
      </c>
      <c r="I67" s="29" t="n">
        <v>27801</v>
      </c>
    </row>
    <row r="68" customFormat="false" ht="15" hidden="false" customHeight="false" outlineLevel="0" collapsed="false">
      <c r="A68" s="20" t="s">
        <v>60</v>
      </c>
      <c r="B68" s="20" t="s">
        <v>54</v>
      </c>
      <c r="C68" s="20" t="s">
        <v>50</v>
      </c>
      <c r="D68" s="21" t="n">
        <v>46</v>
      </c>
      <c r="E68" s="21" t="n">
        <v>16</v>
      </c>
      <c r="F68" s="21" t="n">
        <f aca="false">D68-E68</f>
        <v>30</v>
      </c>
      <c r="G68" s="22" t="n">
        <f aca="false">IFERROR(F68/D68,0)</f>
        <v>0.652173913043478</v>
      </c>
      <c r="H68" s="23" t="n">
        <v>0.51</v>
      </c>
      <c r="I68" s="24" t="n">
        <v>21854</v>
      </c>
    </row>
    <row r="69" customFormat="false" ht="15" hidden="false" customHeight="false" outlineLevel="0" collapsed="false">
      <c r="A69" s="25" t="s">
        <v>60</v>
      </c>
      <c r="B69" s="25" t="s">
        <v>54</v>
      </c>
      <c r="C69" s="25" t="s">
        <v>51</v>
      </c>
      <c r="D69" s="26" t="n">
        <v>71</v>
      </c>
      <c r="E69" s="26" t="n">
        <v>26</v>
      </c>
      <c r="F69" s="26" t="n">
        <f aca="false">D69-E69</f>
        <v>45</v>
      </c>
      <c r="G69" s="27" t="n">
        <f aca="false">IFERROR(F69/D69,0)</f>
        <v>0.633802816901409</v>
      </c>
      <c r="H69" s="28" t="n">
        <v>0.41</v>
      </c>
      <c r="I69" s="29" t="n">
        <v>16655</v>
      </c>
    </row>
    <row r="70" customFormat="false" ht="15" hidden="false" customHeight="false" outlineLevel="0" collapsed="false">
      <c r="A70" s="20" t="s">
        <v>60</v>
      </c>
      <c r="B70" s="20" t="s">
        <v>54</v>
      </c>
      <c r="C70" s="20" t="s">
        <v>52</v>
      </c>
      <c r="D70" s="21" t="n">
        <v>42</v>
      </c>
      <c r="E70" s="21" t="n">
        <v>12</v>
      </c>
      <c r="F70" s="21" t="n">
        <f aca="false">D70-E70</f>
        <v>30</v>
      </c>
      <c r="G70" s="22" t="n">
        <f aca="false">IFERROR(F70/D70,0)</f>
        <v>0.714285714285714</v>
      </c>
      <c r="H70" s="23" t="n">
        <v>0.6</v>
      </c>
      <c r="I70" s="24" t="n">
        <v>29719</v>
      </c>
    </row>
    <row r="71" customFormat="false" ht="15" hidden="false" customHeight="false" outlineLevel="0" collapsed="false">
      <c r="A71" s="25" t="s">
        <v>60</v>
      </c>
      <c r="B71" s="25" t="s">
        <v>54</v>
      </c>
      <c r="C71" s="25" t="s">
        <v>53</v>
      </c>
      <c r="D71" s="26" t="n">
        <v>93</v>
      </c>
      <c r="E71" s="26" t="n">
        <v>21</v>
      </c>
      <c r="F71" s="26" t="n">
        <f aca="false">D71-E71</f>
        <v>72</v>
      </c>
      <c r="G71" s="27" t="n">
        <f aca="false">IFERROR(F71/D71,0)</f>
        <v>0.774193548387097</v>
      </c>
      <c r="H71" s="28" t="n">
        <v>0.47</v>
      </c>
      <c r="I71" s="29" t="n">
        <v>20463</v>
      </c>
    </row>
    <row r="72" customFormat="false" ht="15" hidden="false" customHeight="false" outlineLevel="0" collapsed="false">
      <c r="A72" s="20" t="s">
        <v>60</v>
      </c>
      <c r="B72" s="20" t="s">
        <v>55</v>
      </c>
      <c r="C72" s="20" t="s">
        <v>49</v>
      </c>
      <c r="D72" s="21" t="n">
        <v>91</v>
      </c>
      <c r="E72" s="21" t="n">
        <v>20</v>
      </c>
      <c r="F72" s="21" t="n">
        <f aca="false">D72-E72</f>
        <v>71</v>
      </c>
      <c r="G72" s="22" t="n">
        <f aca="false">IFERROR(F72/D72,0)</f>
        <v>0.78021978021978</v>
      </c>
      <c r="H72" s="23" t="n">
        <v>0.63</v>
      </c>
      <c r="I72" s="24" t="n">
        <v>16983</v>
      </c>
    </row>
    <row r="73" customFormat="false" ht="15" hidden="false" customHeight="false" outlineLevel="0" collapsed="false">
      <c r="A73" s="25" t="s">
        <v>60</v>
      </c>
      <c r="B73" s="25" t="s">
        <v>55</v>
      </c>
      <c r="C73" s="25" t="s">
        <v>50</v>
      </c>
      <c r="D73" s="26" t="n">
        <v>125</v>
      </c>
      <c r="E73" s="26" t="n">
        <v>50</v>
      </c>
      <c r="F73" s="26" t="n">
        <f aca="false">D73-E73</f>
        <v>75</v>
      </c>
      <c r="G73" s="27" t="n">
        <f aca="false">IFERROR(F73/D73,0)</f>
        <v>0.6</v>
      </c>
      <c r="H73" s="28" t="n">
        <v>0.78</v>
      </c>
      <c r="I73" s="29" t="n">
        <v>12668</v>
      </c>
    </row>
    <row r="74" customFormat="false" ht="15" hidden="false" customHeight="false" outlineLevel="0" collapsed="false">
      <c r="A74" s="20" t="s">
        <v>60</v>
      </c>
      <c r="B74" s="20" t="s">
        <v>55</v>
      </c>
      <c r="C74" s="20" t="s">
        <v>51</v>
      </c>
      <c r="D74" s="21" t="n">
        <v>123</v>
      </c>
      <c r="E74" s="21" t="n">
        <v>44</v>
      </c>
      <c r="F74" s="21" t="n">
        <f aca="false">D74-E74</f>
        <v>79</v>
      </c>
      <c r="G74" s="22" t="n">
        <f aca="false">IFERROR(F74/D74,0)</f>
        <v>0.642276422764228</v>
      </c>
      <c r="H74" s="23" t="n">
        <v>0.72</v>
      </c>
      <c r="I74" s="24" t="n">
        <v>10975</v>
      </c>
    </row>
    <row r="75" customFormat="false" ht="15" hidden="false" customHeight="false" outlineLevel="0" collapsed="false">
      <c r="A75" s="25" t="s">
        <v>60</v>
      </c>
      <c r="B75" s="25" t="s">
        <v>55</v>
      </c>
      <c r="C75" s="25" t="s">
        <v>52</v>
      </c>
      <c r="D75" s="26" t="n">
        <v>91</v>
      </c>
      <c r="E75" s="26" t="n">
        <v>36</v>
      </c>
      <c r="F75" s="26" t="n">
        <f aca="false">D75-E75</f>
        <v>55</v>
      </c>
      <c r="G75" s="27" t="n">
        <f aca="false">IFERROR(F75/D75,0)</f>
        <v>0.604395604395604</v>
      </c>
      <c r="H75" s="28" t="n">
        <v>0.69</v>
      </c>
      <c r="I75" s="29" t="n">
        <v>17880</v>
      </c>
    </row>
    <row r="76" customFormat="false" ht="15" hidden="false" customHeight="false" outlineLevel="0" collapsed="false">
      <c r="A76" s="20" t="s">
        <v>60</v>
      </c>
      <c r="B76" s="20" t="s">
        <v>55</v>
      </c>
      <c r="C76" s="20" t="s">
        <v>53</v>
      </c>
      <c r="D76" s="21" t="n">
        <v>205</v>
      </c>
      <c r="E76" s="21" t="n">
        <v>88</v>
      </c>
      <c r="F76" s="21" t="n">
        <f aca="false">D76-E76</f>
        <v>117</v>
      </c>
      <c r="G76" s="22" t="n">
        <f aca="false">IFERROR(F76/D76,0)</f>
        <v>0.570731707317073</v>
      </c>
      <c r="H76" s="23" t="n">
        <v>0.71</v>
      </c>
      <c r="I76" s="24" t="n">
        <v>12651</v>
      </c>
    </row>
    <row r="77" customFormat="false" ht="15" hidden="false" customHeight="false" outlineLevel="0" collapsed="false">
      <c r="A77" s="25" t="s">
        <v>60</v>
      </c>
      <c r="B77" s="25" t="s">
        <v>56</v>
      </c>
      <c r="C77" s="25" t="s">
        <v>49</v>
      </c>
      <c r="D77" s="26" t="n">
        <v>81</v>
      </c>
      <c r="E77" s="26" t="n">
        <v>33</v>
      </c>
      <c r="F77" s="26" t="n">
        <f aca="false">D77-E77</f>
        <v>48</v>
      </c>
      <c r="G77" s="27" t="n">
        <f aca="false">IFERROR(F77/D77,0)</f>
        <v>0.592592592592593</v>
      </c>
      <c r="H77" s="28" t="n">
        <v>0.57</v>
      </c>
      <c r="I77" s="29" t="n">
        <v>17975</v>
      </c>
    </row>
    <row r="78" customFormat="false" ht="15" hidden="false" customHeight="false" outlineLevel="0" collapsed="false">
      <c r="A78" s="20" t="s">
        <v>60</v>
      </c>
      <c r="B78" s="20" t="s">
        <v>56</v>
      </c>
      <c r="C78" s="20" t="s">
        <v>50</v>
      </c>
      <c r="D78" s="21" t="n">
        <v>133</v>
      </c>
      <c r="E78" s="21" t="n">
        <v>63</v>
      </c>
      <c r="F78" s="21" t="n">
        <f aca="false">D78-E78</f>
        <v>70</v>
      </c>
      <c r="G78" s="22" t="n">
        <f aca="false">IFERROR(F78/D78,0)</f>
        <v>0.526315789473684</v>
      </c>
      <c r="H78" s="23" t="n">
        <v>0.66</v>
      </c>
      <c r="I78" s="24" t="n">
        <v>12799</v>
      </c>
    </row>
    <row r="79" customFormat="false" ht="15" hidden="false" customHeight="false" outlineLevel="0" collapsed="false">
      <c r="A79" s="25" t="s">
        <v>60</v>
      </c>
      <c r="B79" s="25" t="s">
        <v>56</v>
      </c>
      <c r="C79" s="25" t="s">
        <v>51</v>
      </c>
      <c r="D79" s="26" t="n">
        <v>130</v>
      </c>
      <c r="E79" s="26" t="n">
        <v>64</v>
      </c>
      <c r="F79" s="26" t="n">
        <f aca="false">D79-E79</f>
        <v>66</v>
      </c>
      <c r="G79" s="27" t="n">
        <f aca="false">IFERROR(F79/D79,0)</f>
        <v>0.507692307692308</v>
      </c>
      <c r="H79" s="28" t="n">
        <v>0.72</v>
      </c>
      <c r="I79" s="29" t="n">
        <v>11464</v>
      </c>
    </row>
    <row r="80" customFormat="false" ht="15" hidden="false" customHeight="false" outlineLevel="0" collapsed="false">
      <c r="A80" s="20" t="s">
        <v>60</v>
      </c>
      <c r="B80" s="20" t="s">
        <v>56</v>
      </c>
      <c r="C80" s="20" t="s">
        <v>52</v>
      </c>
      <c r="D80" s="21" t="n">
        <v>122</v>
      </c>
      <c r="E80" s="21" t="n">
        <v>74</v>
      </c>
      <c r="F80" s="21" t="n">
        <f aca="false">D80-E80</f>
        <v>48</v>
      </c>
      <c r="G80" s="22" t="n">
        <f aca="false">IFERROR(F80/D80,0)</f>
        <v>0.39344262295082</v>
      </c>
      <c r="H80" s="23" t="n">
        <v>0.55</v>
      </c>
      <c r="I80" s="24" t="n">
        <v>20361</v>
      </c>
    </row>
    <row r="81" customFormat="false" ht="15" hidden="false" customHeight="false" outlineLevel="0" collapsed="false">
      <c r="A81" s="25" t="s">
        <v>60</v>
      </c>
      <c r="B81" s="25" t="s">
        <v>56</v>
      </c>
      <c r="C81" s="25" t="s">
        <v>53</v>
      </c>
      <c r="D81" s="26" t="n">
        <v>393</v>
      </c>
      <c r="E81" s="26" t="n">
        <v>198</v>
      </c>
      <c r="F81" s="26" t="n">
        <f aca="false">D81-E81</f>
        <v>195</v>
      </c>
      <c r="G81" s="27" t="n">
        <f aca="false">IFERROR(F81/D81,0)</f>
        <v>0.49618320610687</v>
      </c>
      <c r="H81" s="28" t="n">
        <v>0.6</v>
      </c>
      <c r="I81" s="29" t="n">
        <v>13096</v>
      </c>
    </row>
    <row r="82" customFormat="false" ht="15" hidden="false" customHeight="false" outlineLevel="0" collapsed="false">
      <c r="A82" s="20" t="s">
        <v>60</v>
      </c>
      <c r="B82" s="20" t="s">
        <v>57</v>
      </c>
      <c r="C82" s="20" t="s">
        <v>49</v>
      </c>
      <c r="D82" s="21" t="n">
        <v>62</v>
      </c>
      <c r="E82" s="21" t="n">
        <v>10</v>
      </c>
      <c r="F82" s="21" t="n">
        <f aca="false">D82-E82</f>
        <v>52</v>
      </c>
      <c r="G82" s="22" t="n">
        <f aca="false">IFERROR(F82/D82,0)</f>
        <v>0.838709677419355</v>
      </c>
      <c r="H82" s="23" t="n">
        <v>0.59</v>
      </c>
      <c r="I82" s="24" t="n">
        <v>22439</v>
      </c>
    </row>
    <row r="83" customFormat="false" ht="15" hidden="false" customHeight="false" outlineLevel="0" collapsed="false">
      <c r="A83" s="25" t="s">
        <v>60</v>
      </c>
      <c r="B83" s="25" t="s">
        <v>57</v>
      </c>
      <c r="C83" s="25" t="s">
        <v>50</v>
      </c>
      <c r="D83" s="26" t="n">
        <v>75</v>
      </c>
      <c r="E83" s="26" t="n">
        <v>12</v>
      </c>
      <c r="F83" s="26" t="n">
        <f aca="false">D83-E83</f>
        <v>63</v>
      </c>
      <c r="G83" s="27" t="n">
        <f aca="false">IFERROR(F83/D83,0)</f>
        <v>0.84</v>
      </c>
      <c r="H83" s="28" t="n">
        <v>0.5</v>
      </c>
      <c r="I83" s="29" t="n">
        <v>16669</v>
      </c>
    </row>
    <row r="84" customFormat="false" ht="15" hidden="false" customHeight="false" outlineLevel="0" collapsed="false">
      <c r="A84" s="20" t="s">
        <v>60</v>
      </c>
      <c r="B84" s="20" t="s">
        <v>57</v>
      </c>
      <c r="C84" s="20" t="s">
        <v>51</v>
      </c>
      <c r="D84" s="21" t="n">
        <v>40</v>
      </c>
      <c r="E84" s="21" t="n">
        <v>5</v>
      </c>
      <c r="F84" s="21" t="n">
        <f aca="false">D84-E84</f>
        <v>35</v>
      </c>
      <c r="G84" s="22" t="n">
        <f aca="false">IFERROR(F84/D84,0)</f>
        <v>0.875</v>
      </c>
      <c r="H84" s="23" t="n">
        <v>0.51</v>
      </c>
      <c r="I84" s="24" t="n">
        <v>12968</v>
      </c>
    </row>
    <row r="85" customFormat="false" ht="15" hidden="false" customHeight="false" outlineLevel="0" collapsed="false">
      <c r="A85" s="25" t="s">
        <v>60</v>
      </c>
      <c r="B85" s="25" t="s">
        <v>57</v>
      </c>
      <c r="C85" s="25" t="s">
        <v>52</v>
      </c>
      <c r="D85" s="26" t="n">
        <v>58</v>
      </c>
      <c r="E85" s="26" t="n">
        <v>11</v>
      </c>
      <c r="F85" s="26" t="n">
        <f aca="false">D85-E85</f>
        <v>47</v>
      </c>
      <c r="G85" s="27" t="n">
        <f aca="false">IFERROR(F85/D85,0)</f>
        <v>0.810344827586207</v>
      </c>
      <c r="H85" s="28" t="n">
        <v>0.44</v>
      </c>
      <c r="I85" s="29" t="n">
        <v>23800</v>
      </c>
    </row>
    <row r="86" customFormat="false" ht="15" hidden="false" customHeight="false" outlineLevel="0" collapsed="false">
      <c r="A86" s="20" t="s">
        <v>60</v>
      </c>
      <c r="B86" s="20" t="s">
        <v>57</v>
      </c>
      <c r="C86" s="20" t="s">
        <v>53</v>
      </c>
      <c r="D86" s="21" t="n">
        <v>169</v>
      </c>
      <c r="E86" s="21" t="n">
        <v>35</v>
      </c>
      <c r="F86" s="21" t="n">
        <f aca="false">D86-E86</f>
        <v>134</v>
      </c>
      <c r="G86" s="22" t="n">
        <f aca="false">IFERROR(F86/D86,0)</f>
        <v>0.792899408284024</v>
      </c>
      <c r="H86" s="23" t="n">
        <v>0.4</v>
      </c>
      <c r="I86" s="24" t="n">
        <v>16914</v>
      </c>
    </row>
    <row r="87" customFormat="false" ht="15" hidden="false" customHeight="false" outlineLevel="0" collapsed="false">
      <c r="A87" s="25" t="s">
        <v>60</v>
      </c>
      <c r="B87" s="25" t="s">
        <v>58</v>
      </c>
      <c r="C87" s="25" t="s">
        <v>49</v>
      </c>
      <c r="D87" s="26" t="n">
        <v>154</v>
      </c>
      <c r="E87" s="26" t="n">
        <v>57</v>
      </c>
      <c r="F87" s="26" t="n">
        <f aca="false">D87-E87</f>
        <v>97</v>
      </c>
      <c r="G87" s="27" t="n">
        <f aca="false">IFERROR(F87/D87,0)</f>
        <v>0.62987012987013</v>
      </c>
      <c r="H87" s="28" t="n">
        <v>0.85</v>
      </c>
      <c r="I87" s="29" t="n">
        <v>15762</v>
      </c>
    </row>
    <row r="88" customFormat="false" ht="15" hidden="false" customHeight="false" outlineLevel="0" collapsed="false">
      <c r="A88" s="20" t="s">
        <v>60</v>
      </c>
      <c r="B88" s="20" t="s">
        <v>58</v>
      </c>
      <c r="C88" s="20" t="s">
        <v>50</v>
      </c>
      <c r="D88" s="21" t="n">
        <v>107</v>
      </c>
      <c r="E88" s="21" t="n">
        <v>50</v>
      </c>
      <c r="F88" s="21" t="n">
        <f aca="false">D88-E88</f>
        <v>57</v>
      </c>
      <c r="G88" s="22" t="n">
        <f aca="false">IFERROR(F88/D88,0)</f>
        <v>0.532710280373832</v>
      </c>
      <c r="H88" s="23" t="n">
        <v>0.66</v>
      </c>
      <c r="I88" s="24" t="n">
        <v>11034</v>
      </c>
    </row>
    <row r="89" customFormat="false" ht="15" hidden="false" customHeight="false" outlineLevel="0" collapsed="false">
      <c r="A89" s="25" t="s">
        <v>60</v>
      </c>
      <c r="B89" s="25" t="s">
        <v>58</v>
      </c>
      <c r="C89" s="25" t="s">
        <v>51</v>
      </c>
      <c r="D89" s="26" t="n">
        <v>445</v>
      </c>
      <c r="E89" s="26" t="n">
        <v>254</v>
      </c>
      <c r="F89" s="26" t="n">
        <f aca="false">D89-E89</f>
        <v>191</v>
      </c>
      <c r="G89" s="27" t="n">
        <f aca="false">IFERROR(F89/D89,0)</f>
        <v>0.429213483146067</v>
      </c>
      <c r="H89" s="28" t="n">
        <v>0.75</v>
      </c>
      <c r="I89" s="29" t="n">
        <v>10117</v>
      </c>
    </row>
    <row r="90" customFormat="false" ht="15" hidden="false" customHeight="false" outlineLevel="0" collapsed="false">
      <c r="A90" s="20" t="s">
        <v>60</v>
      </c>
      <c r="B90" s="20" t="s">
        <v>58</v>
      </c>
      <c r="C90" s="20" t="s">
        <v>52</v>
      </c>
      <c r="D90" s="21" t="n">
        <v>155</v>
      </c>
      <c r="E90" s="21" t="n">
        <v>86</v>
      </c>
      <c r="F90" s="21" t="n">
        <f aca="false">D90-E90</f>
        <v>69</v>
      </c>
      <c r="G90" s="22" t="n">
        <f aca="false">IFERROR(F90/D90,0)</f>
        <v>0.445161290322581</v>
      </c>
      <c r="H90" s="23" t="n">
        <v>0.74</v>
      </c>
      <c r="I90" s="24" t="n">
        <v>17734</v>
      </c>
    </row>
    <row r="91" customFormat="false" ht="15" hidden="false" customHeight="false" outlineLevel="0" collapsed="false">
      <c r="A91" s="25" t="s">
        <v>60</v>
      </c>
      <c r="B91" s="25" t="s">
        <v>58</v>
      </c>
      <c r="C91" s="25" t="s">
        <v>53</v>
      </c>
      <c r="D91" s="26" t="n">
        <v>208</v>
      </c>
      <c r="E91" s="26" t="n">
        <v>75</v>
      </c>
      <c r="F91" s="26" t="n">
        <f aca="false">D91-E91</f>
        <v>133</v>
      </c>
      <c r="G91" s="27" t="n">
        <f aca="false">IFERROR(F91/D91,0)</f>
        <v>0.639423076923077</v>
      </c>
      <c r="H91" s="28" t="n">
        <v>0.66</v>
      </c>
      <c r="I91" s="29" t="n">
        <v>12747</v>
      </c>
    </row>
    <row r="92" customFormat="false" ht="15" hidden="false" customHeight="false" outlineLevel="0" collapsed="false">
      <c r="A92" s="20" t="s">
        <v>61</v>
      </c>
      <c r="B92" s="20" t="s">
        <v>48</v>
      </c>
      <c r="C92" s="20" t="s">
        <v>49</v>
      </c>
      <c r="D92" s="21" t="n">
        <v>94</v>
      </c>
      <c r="E92" s="21" t="n">
        <v>32</v>
      </c>
      <c r="F92" s="21" t="n">
        <f aca="false">D92-E92</f>
        <v>62</v>
      </c>
      <c r="G92" s="22" t="n">
        <f aca="false">IFERROR(F92/D92,0)</f>
        <v>0.659574468085106</v>
      </c>
      <c r="H92" s="23" t="n">
        <v>0.82</v>
      </c>
      <c r="I92" s="24" t="n">
        <v>17183</v>
      </c>
    </row>
    <row r="93" customFormat="false" ht="15" hidden="false" customHeight="false" outlineLevel="0" collapsed="false">
      <c r="A93" s="25" t="s">
        <v>61</v>
      </c>
      <c r="B93" s="25" t="s">
        <v>48</v>
      </c>
      <c r="C93" s="25" t="s">
        <v>50</v>
      </c>
      <c r="D93" s="26" t="n">
        <v>156</v>
      </c>
      <c r="E93" s="26" t="n">
        <v>74</v>
      </c>
      <c r="F93" s="26" t="n">
        <f aca="false">D93-E93</f>
        <v>82</v>
      </c>
      <c r="G93" s="27" t="n">
        <f aca="false">IFERROR(F93/D93,0)</f>
        <v>0.525641025641026</v>
      </c>
      <c r="H93" s="28" t="n">
        <v>0.77</v>
      </c>
      <c r="I93" s="29" t="n">
        <v>12842</v>
      </c>
    </row>
    <row r="94" customFormat="false" ht="15" hidden="false" customHeight="false" outlineLevel="0" collapsed="false">
      <c r="A94" s="20" t="s">
        <v>61</v>
      </c>
      <c r="B94" s="20" t="s">
        <v>48</v>
      </c>
      <c r="C94" s="20" t="s">
        <v>51</v>
      </c>
      <c r="D94" s="21" t="n">
        <v>145</v>
      </c>
      <c r="E94" s="21" t="n">
        <v>63</v>
      </c>
      <c r="F94" s="21" t="n">
        <f aca="false">D94-E94</f>
        <v>82</v>
      </c>
      <c r="G94" s="22" t="n">
        <f aca="false">IFERROR(F94/D94,0)</f>
        <v>0.56551724137931</v>
      </c>
      <c r="H94" s="23" t="n">
        <v>0.81</v>
      </c>
      <c r="I94" s="24" t="n">
        <v>10532</v>
      </c>
    </row>
    <row r="95" customFormat="false" ht="15" hidden="false" customHeight="false" outlineLevel="0" collapsed="false">
      <c r="A95" s="25" t="s">
        <v>61</v>
      </c>
      <c r="B95" s="25" t="s">
        <v>48</v>
      </c>
      <c r="C95" s="25" t="s">
        <v>52</v>
      </c>
      <c r="D95" s="26" t="n">
        <v>151</v>
      </c>
      <c r="E95" s="26" t="n">
        <v>97</v>
      </c>
      <c r="F95" s="26" t="n">
        <f aca="false">D95-E95</f>
        <v>54</v>
      </c>
      <c r="G95" s="27" t="n">
        <f aca="false">IFERROR(F95/D95,0)</f>
        <v>0.357615894039735</v>
      </c>
      <c r="H95" s="28" t="n">
        <v>0.76</v>
      </c>
      <c r="I95" s="29" t="n">
        <v>16029</v>
      </c>
    </row>
    <row r="96" customFormat="false" ht="15" hidden="false" customHeight="false" outlineLevel="0" collapsed="false">
      <c r="A96" s="20" t="s">
        <v>61</v>
      </c>
      <c r="B96" s="20" t="s">
        <v>48</v>
      </c>
      <c r="C96" s="20" t="s">
        <v>53</v>
      </c>
      <c r="D96" s="21" t="n">
        <v>442</v>
      </c>
      <c r="E96" s="21" t="n">
        <v>287</v>
      </c>
      <c r="F96" s="21" t="n">
        <f aca="false">D96-E96</f>
        <v>155</v>
      </c>
      <c r="G96" s="22" t="n">
        <f aca="false">IFERROR(F96/D96,0)</f>
        <v>0.350678733031674</v>
      </c>
      <c r="H96" s="23" t="n">
        <v>0.85</v>
      </c>
      <c r="I96" s="24" t="n">
        <v>11739</v>
      </c>
    </row>
    <row r="97" customFormat="false" ht="15" hidden="false" customHeight="false" outlineLevel="0" collapsed="false">
      <c r="A97" s="25" t="s">
        <v>61</v>
      </c>
      <c r="B97" s="25" t="s">
        <v>54</v>
      </c>
      <c r="C97" s="25" t="s">
        <v>49</v>
      </c>
      <c r="D97" s="26" t="n">
        <v>245</v>
      </c>
      <c r="E97" s="26" t="n">
        <v>55</v>
      </c>
      <c r="F97" s="26" t="n">
        <f aca="false">D97-E97</f>
        <v>190</v>
      </c>
      <c r="G97" s="27" t="n">
        <f aca="false">IFERROR(F97/D97,0)</f>
        <v>0.775510204081633</v>
      </c>
      <c r="H97" s="28" t="n">
        <v>0.5</v>
      </c>
      <c r="I97" s="29" t="n">
        <v>28891</v>
      </c>
    </row>
    <row r="98" customFormat="false" ht="15" hidden="false" customHeight="false" outlineLevel="0" collapsed="false">
      <c r="A98" s="20" t="s">
        <v>61</v>
      </c>
      <c r="B98" s="20" t="s">
        <v>54</v>
      </c>
      <c r="C98" s="20" t="s">
        <v>50</v>
      </c>
      <c r="D98" s="21" t="n">
        <v>59</v>
      </c>
      <c r="E98" s="21" t="n">
        <v>15</v>
      </c>
      <c r="F98" s="21" t="n">
        <f aca="false">D98-E98</f>
        <v>44</v>
      </c>
      <c r="G98" s="22" t="n">
        <f aca="false">IFERROR(F98/D98,0)</f>
        <v>0.745762711864407</v>
      </c>
      <c r="H98" s="23" t="n">
        <v>0.43</v>
      </c>
      <c r="I98" s="24" t="n">
        <v>21846</v>
      </c>
    </row>
    <row r="99" customFormat="false" ht="15" hidden="false" customHeight="false" outlineLevel="0" collapsed="false">
      <c r="A99" s="25" t="s">
        <v>61</v>
      </c>
      <c r="B99" s="25" t="s">
        <v>54</v>
      </c>
      <c r="C99" s="25" t="s">
        <v>51</v>
      </c>
      <c r="D99" s="26" t="n">
        <v>86</v>
      </c>
      <c r="E99" s="26" t="n">
        <v>27</v>
      </c>
      <c r="F99" s="26" t="n">
        <f aca="false">D99-E99</f>
        <v>59</v>
      </c>
      <c r="G99" s="27" t="n">
        <f aca="false">IFERROR(F99/D99,0)</f>
        <v>0.686046511627907</v>
      </c>
      <c r="H99" s="28" t="n">
        <v>0.48</v>
      </c>
      <c r="I99" s="29" t="n">
        <v>19091</v>
      </c>
    </row>
    <row r="100" customFormat="false" ht="15" hidden="false" customHeight="false" outlineLevel="0" collapsed="false">
      <c r="A100" s="20" t="s">
        <v>61</v>
      </c>
      <c r="B100" s="20" t="s">
        <v>54</v>
      </c>
      <c r="C100" s="20" t="s">
        <v>52</v>
      </c>
      <c r="D100" s="21" t="n">
        <v>55</v>
      </c>
      <c r="E100" s="21" t="n">
        <v>18</v>
      </c>
      <c r="F100" s="21" t="n">
        <f aca="false">D100-E100</f>
        <v>37</v>
      </c>
      <c r="G100" s="22" t="n">
        <f aca="false">IFERROR(F100/D100,0)</f>
        <v>0.672727272727273</v>
      </c>
      <c r="H100" s="23" t="n">
        <v>0.41</v>
      </c>
      <c r="I100" s="24" t="n">
        <v>29942</v>
      </c>
    </row>
    <row r="101" customFormat="false" ht="15" hidden="false" customHeight="false" outlineLevel="0" collapsed="false">
      <c r="A101" s="25" t="s">
        <v>61</v>
      </c>
      <c r="B101" s="25" t="s">
        <v>54</v>
      </c>
      <c r="C101" s="25" t="s">
        <v>53</v>
      </c>
      <c r="D101" s="26" t="n">
        <v>110</v>
      </c>
      <c r="E101" s="26" t="n">
        <v>35</v>
      </c>
      <c r="F101" s="26" t="n">
        <f aca="false">D101-E101</f>
        <v>75</v>
      </c>
      <c r="G101" s="27" t="n">
        <f aca="false">IFERROR(F101/D101,0)</f>
        <v>0.681818181818182</v>
      </c>
      <c r="H101" s="28" t="n">
        <v>0.52</v>
      </c>
      <c r="I101" s="29" t="n">
        <v>21115</v>
      </c>
    </row>
    <row r="102" customFormat="false" ht="15" hidden="false" customHeight="false" outlineLevel="0" collapsed="false">
      <c r="A102" s="20" t="s">
        <v>61</v>
      </c>
      <c r="B102" s="20" t="s">
        <v>55</v>
      </c>
      <c r="C102" s="20" t="s">
        <v>49</v>
      </c>
      <c r="D102" s="21" t="n">
        <v>131</v>
      </c>
      <c r="E102" s="21" t="n">
        <v>27</v>
      </c>
      <c r="F102" s="21" t="n">
        <f aca="false">D102-E102</f>
        <v>104</v>
      </c>
      <c r="G102" s="22" t="n">
        <f aca="false">IFERROR(F102/D102,0)</f>
        <v>0.793893129770992</v>
      </c>
      <c r="H102" s="23" t="n">
        <v>0.66</v>
      </c>
      <c r="I102" s="24" t="n">
        <v>16664</v>
      </c>
    </row>
    <row r="103" customFormat="false" ht="15" hidden="false" customHeight="false" outlineLevel="0" collapsed="false">
      <c r="A103" s="25" t="s">
        <v>61</v>
      </c>
      <c r="B103" s="25" t="s">
        <v>55</v>
      </c>
      <c r="C103" s="25" t="s">
        <v>50</v>
      </c>
      <c r="D103" s="26" t="n">
        <v>175</v>
      </c>
      <c r="E103" s="26" t="n">
        <v>94</v>
      </c>
      <c r="F103" s="26" t="n">
        <f aca="false">D103-E103</f>
        <v>81</v>
      </c>
      <c r="G103" s="27" t="n">
        <f aca="false">IFERROR(F103/D103,0)</f>
        <v>0.462857142857143</v>
      </c>
      <c r="H103" s="28" t="n">
        <v>0.78</v>
      </c>
      <c r="I103" s="29" t="n">
        <v>13197</v>
      </c>
    </row>
    <row r="104" customFormat="false" ht="15" hidden="false" customHeight="false" outlineLevel="0" collapsed="false">
      <c r="A104" s="20" t="s">
        <v>61</v>
      </c>
      <c r="B104" s="20" t="s">
        <v>55</v>
      </c>
      <c r="C104" s="20" t="s">
        <v>51</v>
      </c>
      <c r="D104" s="21" t="n">
        <v>160</v>
      </c>
      <c r="E104" s="21" t="n">
        <v>57</v>
      </c>
      <c r="F104" s="21" t="n">
        <f aca="false">D104-E104</f>
        <v>103</v>
      </c>
      <c r="G104" s="22" t="n">
        <f aca="false">IFERROR(F104/D104,0)</f>
        <v>0.64375</v>
      </c>
      <c r="H104" s="23" t="n">
        <v>0.78</v>
      </c>
      <c r="I104" s="24" t="n">
        <v>10528</v>
      </c>
    </row>
    <row r="105" customFormat="false" ht="15" hidden="false" customHeight="false" outlineLevel="0" collapsed="false">
      <c r="A105" s="25" t="s">
        <v>61</v>
      </c>
      <c r="B105" s="25" t="s">
        <v>55</v>
      </c>
      <c r="C105" s="25" t="s">
        <v>52</v>
      </c>
      <c r="D105" s="26" t="n">
        <v>131</v>
      </c>
      <c r="E105" s="26" t="n">
        <v>57</v>
      </c>
      <c r="F105" s="26" t="n">
        <f aca="false">D105-E105</f>
        <v>74</v>
      </c>
      <c r="G105" s="27" t="n">
        <f aca="false">IFERROR(F105/D105,0)</f>
        <v>0.564885496183206</v>
      </c>
      <c r="H105" s="28" t="n">
        <v>0.56</v>
      </c>
      <c r="I105" s="29" t="n">
        <v>19572</v>
      </c>
    </row>
    <row r="106" customFormat="false" ht="15" hidden="false" customHeight="false" outlineLevel="0" collapsed="false">
      <c r="A106" s="20" t="s">
        <v>61</v>
      </c>
      <c r="B106" s="20" t="s">
        <v>55</v>
      </c>
      <c r="C106" s="20" t="s">
        <v>53</v>
      </c>
      <c r="D106" s="21" t="n">
        <v>268</v>
      </c>
      <c r="E106" s="21" t="n">
        <v>86</v>
      </c>
      <c r="F106" s="21" t="n">
        <f aca="false">D106-E106</f>
        <v>182</v>
      </c>
      <c r="G106" s="22" t="n">
        <f aca="false">IFERROR(F106/D106,0)</f>
        <v>0.67910447761194</v>
      </c>
      <c r="H106" s="23" t="n">
        <v>0.65</v>
      </c>
      <c r="I106" s="24" t="n">
        <v>12787</v>
      </c>
    </row>
    <row r="107" customFormat="false" ht="15" hidden="false" customHeight="false" outlineLevel="0" collapsed="false">
      <c r="A107" s="25" t="s">
        <v>61</v>
      </c>
      <c r="B107" s="25" t="s">
        <v>56</v>
      </c>
      <c r="C107" s="25" t="s">
        <v>49</v>
      </c>
      <c r="D107" s="26" t="n">
        <v>98</v>
      </c>
      <c r="E107" s="26" t="n">
        <v>41</v>
      </c>
      <c r="F107" s="26" t="n">
        <f aca="false">D107-E107</f>
        <v>57</v>
      </c>
      <c r="G107" s="27" t="n">
        <f aca="false">IFERROR(F107/D107,0)</f>
        <v>0.581632653061225</v>
      </c>
      <c r="H107" s="28" t="n">
        <v>0.6</v>
      </c>
      <c r="I107" s="29" t="n">
        <v>18339</v>
      </c>
    </row>
    <row r="108" customFormat="false" ht="15" hidden="false" customHeight="false" outlineLevel="0" collapsed="false">
      <c r="A108" s="20" t="s">
        <v>61</v>
      </c>
      <c r="B108" s="20" t="s">
        <v>56</v>
      </c>
      <c r="C108" s="20" t="s">
        <v>50</v>
      </c>
      <c r="D108" s="21" t="n">
        <v>146</v>
      </c>
      <c r="E108" s="21" t="n">
        <v>78</v>
      </c>
      <c r="F108" s="21" t="n">
        <f aca="false">D108-E108</f>
        <v>68</v>
      </c>
      <c r="G108" s="22" t="n">
        <f aca="false">IFERROR(F108/D108,0)</f>
        <v>0.465753424657534</v>
      </c>
      <c r="H108" s="23" t="n">
        <v>0.7</v>
      </c>
      <c r="I108" s="24" t="n">
        <v>12917</v>
      </c>
    </row>
    <row r="109" customFormat="false" ht="15" hidden="false" customHeight="false" outlineLevel="0" collapsed="false">
      <c r="A109" s="25" t="s">
        <v>61</v>
      </c>
      <c r="B109" s="25" t="s">
        <v>56</v>
      </c>
      <c r="C109" s="25" t="s">
        <v>51</v>
      </c>
      <c r="D109" s="26" t="n">
        <v>159</v>
      </c>
      <c r="E109" s="26" t="n">
        <v>79</v>
      </c>
      <c r="F109" s="26" t="n">
        <f aca="false">D109-E109</f>
        <v>80</v>
      </c>
      <c r="G109" s="27" t="n">
        <f aca="false">IFERROR(F109/D109,0)</f>
        <v>0.50314465408805</v>
      </c>
      <c r="H109" s="28" t="n">
        <v>0.63</v>
      </c>
      <c r="I109" s="29" t="n">
        <v>12384</v>
      </c>
    </row>
    <row r="110" customFormat="false" ht="15" hidden="false" customHeight="false" outlineLevel="0" collapsed="false">
      <c r="A110" s="20" t="s">
        <v>61</v>
      </c>
      <c r="B110" s="20" t="s">
        <v>56</v>
      </c>
      <c r="C110" s="20" t="s">
        <v>52</v>
      </c>
      <c r="D110" s="21" t="n">
        <v>157</v>
      </c>
      <c r="E110" s="21" t="n">
        <v>87</v>
      </c>
      <c r="F110" s="21" t="n">
        <f aca="false">D110-E110</f>
        <v>70</v>
      </c>
      <c r="G110" s="22" t="n">
        <f aca="false">IFERROR(F110/D110,0)</f>
        <v>0.445859872611465</v>
      </c>
      <c r="H110" s="23" t="n">
        <v>0.68</v>
      </c>
      <c r="I110" s="24" t="n">
        <v>18387</v>
      </c>
    </row>
    <row r="111" customFormat="false" ht="15" hidden="false" customHeight="false" outlineLevel="0" collapsed="false">
      <c r="A111" s="25" t="s">
        <v>61</v>
      </c>
      <c r="B111" s="25" t="s">
        <v>56</v>
      </c>
      <c r="C111" s="25" t="s">
        <v>53</v>
      </c>
      <c r="D111" s="26" t="n">
        <v>479</v>
      </c>
      <c r="E111" s="26" t="n">
        <v>230</v>
      </c>
      <c r="F111" s="26" t="n">
        <f aca="false">D111-E111</f>
        <v>249</v>
      </c>
      <c r="G111" s="27" t="n">
        <f aca="false">IFERROR(F111/D111,0)</f>
        <v>0.519832985386221</v>
      </c>
      <c r="H111" s="28" t="n">
        <v>0.67</v>
      </c>
      <c r="I111" s="29" t="n">
        <v>14287</v>
      </c>
    </row>
    <row r="112" customFormat="false" ht="15" hidden="false" customHeight="false" outlineLevel="0" collapsed="false">
      <c r="A112" s="20" t="s">
        <v>61</v>
      </c>
      <c r="B112" s="20" t="s">
        <v>57</v>
      </c>
      <c r="C112" s="20" t="s">
        <v>49</v>
      </c>
      <c r="D112" s="21" t="n">
        <v>80</v>
      </c>
      <c r="E112" s="21" t="n">
        <v>8</v>
      </c>
      <c r="F112" s="21" t="n">
        <f aca="false">D112-E112</f>
        <v>72</v>
      </c>
      <c r="G112" s="22" t="n">
        <f aca="false">IFERROR(F112/D112,0)</f>
        <v>0.9</v>
      </c>
      <c r="H112" s="23" t="n">
        <v>0.51</v>
      </c>
      <c r="I112" s="24" t="n">
        <v>23904</v>
      </c>
    </row>
    <row r="113" customFormat="false" ht="15" hidden="false" customHeight="false" outlineLevel="0" collapsed="false">
      <c r="A113" s="25" t="s">
        <v>61</v>
      </c>
      <c r="B113" s="25" t="s">
        <v>57</v>
      </c>
      <c r="C113" s="25" t="s">
        <v>50</v>
      </c>
      <c r="D113" s="26" t="n">
        <v>101</v>
      </c>
      <c r="E113" s="26" t="n">
        <v>20</v>
      </c>
      <c r="F113" s="26" t="n">
        <f aca="false">D113-E113</f>
        <v>81</v>
      </c>
      <c r="G113" s="27" t="n">
        <f aca="false">IFERROR(F113/D113,0)</f>
        <v>0.801980198019802</v>
      </c>
      <c r="H113" s="28" t="n">
        <v>0.44</v>
      </c>
      <c r="I113" s="29" t="n">
        <v>17716</v>
      </c>
    </row>
    <row r="114" customFormat="false" ht="15" hidden="false" customHeight="false" outlineLevel="0" collapsed="false">
      <c r="A114" s="20" t="s">
        <v>61</v>
      </c>
      <c r="B114" s="20" t="s">
        <v>57</v>
      </c>
      <c r="C114" s="20" t="s">
        <v>51</v>
      </c>
      <c r="D114" s="21" t="n">
        <v>53</v>
      </c>
      <c r="E114" s="21" t="n">
        <v>10</v>
      </c>
      <c r="F114" s="21" t="n">
        <f aca="false">D114-E114</f>
        <v>43</v>
      </c>
      <c r="G114" s="22" t="n">
        <f aca="false">IFERROR(F114/D114,0)</f>
        <v>0.811320754716981</v>
      </c>
      <c r="H114" s="23" t="n">
        <v>0.44</v>
      </c>
      <c r="I114" s="24" t="n">
        <v>13568</v>
      </c>
    </row>
    <row r="115" customFormat="false" ht="15" hidden="false" customHeight="false" outlineLevel="0" collapsed="false">
      <c r="A115" s="25" t="s">
        <v>61</v>
      </c>
      <c r="B115" s="25" t="s">
        <v>57</v>
      </c>
      <c r="C115" s="25" t="s">
        <v>52</v>
      </c>
      <c r="D115" s="26" t="n">
        <v>80</v>
      </c>
      <c r="E115" s="26" t="n">
        <v>15</v>
      </c>
      <c r="F115" s="26" t="n">
        <f aca="false">D115-E115</f>
        <v>65</v>
      </c>
      <c r="G115" s="27" t="n">
        <f aca="false">IFERROR(F115/D115,0)</f>
        <v>0.8125</v>
      </c>
      <c r="H115" s="28" t="n">
        <v>0.59</v>
      </c>
      <c r="I115" s="29" t="n">
        <v>22229</v>
      </c>
    </row>
    <row r="116" customFormat="false" ht="15" hidden="false" customHeight="false" outlineLevel="0" collapsed="false">
      <c r="A116" s="20" t="s">
        <v>61</v>
      </c>
      <c r="B116" s="20" t="s">
        <v>57</v>
      </c>
      <c r="C116" s="20" t="s">
        <v>53</v>
      </c>
      <c r="D116" s="21" t="n">
        <v>199</v>
      </c>
      <c r="E116" s="21" t="n">
        <v>26</v>
      </c>
      <c r="F116" s="21" t="n">
        <f aca="false">D116-E116</f>
        <v>173</v>
      </c>
      <c r="G116" s="22" t="n">
        <f aca="false">IFERROR(F116/D116,0)</f>
        <v>0.869346733668342</v>
      </c>
      <c r="H116" s="23" t="n">
        <v>0.41</v>
      </c>
      <c r="I116" s="24" t="n">
        <v>16989</v>
      </c>
    </row>
    <row r="117" customFormat="false" ht="15" hidden="false" customHeight="false" outlineLevel="0" collapsed="false">
      <c r="A117" s="25" t="s">
        <v>61</v>
      </c>
      <c r="B117" s="25" t="s">
        <v>58</v>
      </c>
      <c r="C117" s="25" t="s">
        <v>49</v>
      </c>
      <c r="D117" s="26" t="n">
        <v>247</v>
      </c>
      <c r="E117" s="26" t="n">
        <v>54</v>
      </c>
      <c r="F117" s="26" t="n">
        <f aca="false">D117-E117</f>
        <v>193</v>
      </c>
      <c r="G117" s="27" t="n">
        <f aca="false">IFERROR(F117/D117,0)</f>
        <v>0.781376518218624</v>
      </c>
      <c r="H117" s="28" t="n">
        <v>0.77</v>
      </c>
      <c r="I117" s="29" t="n">
        <v>14815</v>
      </c>
    </row>
    <row r="118" customFormat="false" ht="15" hidden="false" customHeight="false" outlineLevel="0" collapsed="false">
      <c r="A118" s="20" t="s">
        <v>61</v>
      </c>
      <c r="B118" s="20" t="s">
        <v>58</v>
      </c>
      <c r="C118" s="20" t="s">
        <v>50</v>
      </c>
      <c r="D118" s="21" t="n">
        <v>154</v>
      </c>
      <c r="E118" s="21" t="n">
        <v>70</v>
      </c>
      <c r="F118" s="21" t="n">
        <f aca="false">D118-E118</f>
        <v>84</v>
      </c>
      <c r="G118" s="22" t="n">
        <f aca="false">IFERROR(F118/D118,0)</f>
        <v>0.545454545454545</v>
      </c>
      <c r="H118" s="23" t="n">
        <v>0.72</v>
      </c>
      <c r="I118" s="24" t="n">
        <v>11921</v>
      </c>
    </row>
    <row r="119" customFormat="false" ht="15" hidden="false" customHeight="false" outlineLevel="0" collapsed="false">
      <c r="A119" s="25" t="s">
        <v>61</v>
      </c>
      <c r="B119" s="25" t="s">
        <v>58</v>
      </c>
      <c r="C119" s="25" t="s">
        <v>51</v>
      </c>
      <c r="D119" s="26" t="n">
        <v>587</v>
      </c>
      <c r="E119" s="26" t="n">
        <v>342</v>
      </c>
      <c r="F119" s="26" t="n">
        <f aca="false">D119-E119</f>
        <v>245</v>
      </c>
      <c r="G119" s="27" t="n">
        <f aca="false">IFERROR(F119/D119,0)</f>
        <v>0.417376490630324</v>
      </c>
      <c r="H119" s="28" t="n">
        <v>0.74</v>
      </c>
      <c r="I119" s="29" t="n">
        <v>9732</v>
      </c>
    </row>
    <row r="120" customFormat="false" ht="15" hidden="false" customHeight="false" outlineLevel="0" collapsed="false">
      <c r="A120" s="20" t="s">
        <v>61</v>
      </c>
      <c r="B120" s="20" t="s">
        <v>58</v>
      </c>
      <c r="C120" s="20" t="s">
        <v>52</v>
      </c>
      <c r="D120" s="21" t="n">
        <v>244</v>
      </c>
      <c r="E120" s="21" t="n">
        <v>134</v>
      </c>
      <c r="F120" s="21" t="n">
        <f aca="false">D120-E120</f>
        <v>110</v>
      </c>
      <c r="G120" s="22" t="n">
        <f aca="false">IFERROR(F120/D120,0)</f>
        <v>0.450819672131148</v>
      </c>
      <c r="H120" s="23" t="n">
        <v>0.65</v>
      </c>
      <c r="I120" s="24" t="n">
        <v>15599</v>
      </c>
    </row>
    <row r="121" customFormat="false" ht="15" hidden="false" customHeight="false" outlineLevel="0" collapsed="false">
      <c r="A121" s="25" t="s">
        <v>61</v>
      </c>
      <c r="B121" s="25" t="s">
        <v>58</v>
      </c>
      <c r="C121" s="25" t="s">
        <v>53</v>
      </c>
      <c r="D121" s="26" t="n">
        <v>290</v>
      </c>
      <c r="E121" s="26" t="n">
        <v>147</v>
      </c>
      <c r="F121" s="26" t="n">
        <f aca="false">D121-E121</f>
        <v>143</v>
      </c>
      <c r="G121" s="27" t="n">
        <f aca="false">IFERROR(F121/D121,0)</f>
        <v>0.493103448275862</v>
      </c>
      <c r="H121" s="28" t="n">
        <v>0.66</v>
      </c>
      <c r="I121" s="29" t="n">
        <v>12858</v>
      </c>
    </row>
    <row r="122" customFormat="false" ht="15" hidden="false" customHeight="false" outlineLevel="0" collapsed="false">
      <c r="A122" s="20" t="s">
        <v>62</v>
      </c>
      <c r="B122" s="20" t="s">
        <v>48</v>
      </c>
      <c r="C122" s="20" t="s">
        <v>49</v>
      </c>
      <c r="D122" s="21" t="n">
        <v>19</v>
      </c>
      <c r="E122" s="21" t="n">
        <v>6</v>
      </c>
      <c r="F122" s="21" t="n">
        <f aca="false">D122-E122</f>
        <v>13</v>
      </c>
      <c r="G122" s="22" t="n">
        <f aca="false">IFERROR(F122/D122,0)</f>
        <v>0.68421052631579</v>
      </c>
      <c r="H122" s="23" t="n">
        <v>0.82</v>
      </c>
      <c r="I122" s="24" t="n">
        <v>17470</v>
      </c>
    </row>
    <row r="123" customFormat="false" ht="15" hidden="false" customHeight="false" outlineLevel="0" collapsed="false">
      <c r="A123" s="25" t="s">
        <v>62</v>
      </c>
      <c r="B123" s="25" t="s">
        <v>48</v>
      </c>
      <c r="C123" s="25" t="s">
        <v>50</v>
      </c>
      <c r="D123" s="26" t="n">
        <v>27</v>
      </c>
      <c r="E123" s="26" t="n">
        <v>11</v>
      </c>
      <c r="F123" s="26" t="n">
        <f aca="false">D123-E123</f>
        <v>16</v>
      </c>
      <c r="G123" s="27" t="n">
        <f aca="false">IFERROR(F123/D123,0)</f>
        <v>0.592592592592593</v>
      </c>
      <c r="H123" s="28" t="n">
        <v>0.62</v>
      </c>
      <c r="I123" s="29" t="n">
        <v>11045</v>
      </c>
    </row>
    <row r="124" customFormat="false" ht="15" hidden="false" customHeight="false" outlineLevel="0" collapsed="false">
      <c r="A124" s="20" t="s">
        <v>62</v>
      </c>
      <c r="B124" s="20" t="s">
        <v>48</v>
      </c>
      <c r="C124" s="20" t="s">
        <v>51</v>
      </c>
      <c r="D124" s="21" t="n">
        <v>27</v>
      </c>
      <c r="E124" s="21" t="n">
        <v>14</v>
      </c>
      <c r="F124" s="21" t="n">
        <f aca="false">D124-E124</f>
        <v>13</v>
      </c>
      <c r="G124" s="22" t="n">
        <f aca="false">IFERROR(F124/D124,0)</f>
        <v>0.481481481481481</v>
      </c>
      <c r="H124" s="23" t="n">
        <v>0.75</v>
      </c>
      <c r="I124" s="24" t="n">
        <v>10591</v>
      </c>
    </row>
    <row r="125" customFormat="false" ht="15" hidden="false" customHeight="false" outlineLevel="0" collapsed="false">
      <c r="A125" s="25" t="s">
        <v>62</v>
      </c>
      <c r="B125" s="25" t="s">
        <v>48</v>
      </c>
      <c r="C125" s="25" t="s">
        <v>52</v>
      </c>
      <c r="D125" s="26" t="n">
        <v>30</v>
      </c>
      <c r="E125" s="26" t="n">
        <v>13</v>
      </c>
      <c r="F125" s="26" t="n">
        <f aca="false">D125-E125</f>
        <v>17</v>
      </c>
      <c r="G125" s="27" t="n">
        <f aca="false">IFERROR(F125/D125,0)</f>
        <v>0.566666666666667</v>
      </c>
      <c r="H125" s="28" t="n">
        <v>0.65</v>
      </c>
      <c r="I125" s="29" t="n">
        <v>17846</v>
      </c>
    </row>
    <row r="126" customFormat="false" ht="15" hidden="false" customHeight="false" outlineLevel="0" collapsed="false">
      <c r="A126" s="20" t="s">
        <v>62</v>
      </c>
      <c r="B126" s="20" t="s">
        <v>48</v>
      </c>
      <c r="C126" s="20" t="s">
        <v>53</v>
      </c>
      <c r="D126" s="21" t="n">
        <v>90</v>
      </c>
      <c r="E126" s="21" t="n">
        <v>49</v>
      </c>
      <c r="F126" s="21" t="n">
        <f aca="false">D126-E126</f>
        <v>41</v>
      </c>
      <c r="G126" s="22" t="n">
        <f aca="false">IFERROR(F126/D126,0)</f>
        <v>0.455555555555556</v>
      </c>
      <c r="H126" s="23" t="n">
        <v>0.8</v>
      </c>
      <c r="I126" s="24" t="n">
        <v>12046</v>
      </c>
    </row>
    <row r="127" customFormat="false" ht="15" hidden="false" customHeight="false" outlineLevel="0" collapsed="false">
      <c r="A127" s="25" t="s">
        <v>62</v>
      </c>
      <c r="B127" s="25" t="s">
        <v>54</v>
      </c>
      <c r="C127" s="25" t="s">
        <v>49</v>
      </c>
      <c r="D127" s="26" t="n">
        <v>52</v>
      </c>
      <c r="E127" s="26" t="n">
        <v>10</v>
      </c>
      <c r="F127" s="26" t="n">
        <f aca="false">D127-E127</f>
        <v>42</v>
      </c>
      <c r="G127" s="27" t="n">
        <f aca="false">IFERROR(F127/D127,0)</f>
        <v>0.807692307692308</v>
      </c>
      <c r="H127" s="28" t="n">
        <v>0.46</v>
      </c>
      <c r="I127" s="29" t="n">
        <v>26918</v>
      </c>
    </row>
    <row r="128" customFormat="false" ht="15" hidden="false" customHeight="false" outlineLevel="0" collapsed="false">
      <c r="A128" s="20" t="s">
        <v>62</v>
      </c>
      <c r="B128" s="20" t="s">
        <v>54</v>
      </c>
      <c r="C128" s="20" t="s">
        <v>50</v>
      </c>
      <c r="D128" s="21" t="n">
        <v>15</v>
      </c>
      <c r="E128" s="21" t="n">
        <v>4</v>
      </c>
      <c r="F128" s="21" t="n">
        <f aca="false">D128-E128</f>
        <v>11</v>
      </c>
      <c r="G128" s="22" t="n">
        <f aca="false">IFERROR(F128/D128,0)</f>
        <v>0.733333333333333</v>
      </c>
      <c r="H128" s="23" t="n">
        <v>0.43</v>
      </c>
      <c r="I128" s="24" t="n">
        <v>22659</v>
      </c>
    </row>
    <row r="129" customFormat="false" ht="15" hidden="false" customHeight="false" outlineLevel="0" collapsed="false">
      <c r="A129" s="25" t="s">
        <v>62</v>
      </c>
      <c r="B129" s="25" t="s">
        <v>54</v>
      </c>
      <c r="C129" s="25" t="s">
        <v>51</v>
      </c>
      <c r="D129" s="26" t="n">
        <v>15</v>
      </c>
      <c r="E129" s="26" t="n">
        <v>5</v>
      </c>
      <c r="F129" s="26" t="n">
        <f aca="false">D129-E129</f>
        <v>10</v>
      </c>
      <c r="G129" s="27" t="n">
        <f aca="false">IFERROR(F129/D129,0)</f>
        <v>0.666666666666667</v>
      </c>
      <c r="H129" s="28" t="n">
        <v>0.47</v>
      </c>
      <c r="I129" s="29" t="n">
        <v>18769</v>
      </c>
    </row>
    <row r="130" customFormat="false" ht="15" hidden="false" customHeight="false" outlineLevel="0" collapsed="false">
      <c r="A130" s="20" t="s">
        <v>62</v>
      </c>
      <c r="B130" s="20" t="s">
        <v>54</v>
      </c>
      <c r="C130" s="20" t="s">
        <v>52</v>
      </c>
      <c r="D130" s="21" t="n">
        <v>15</v>
      </c>
      <c r="E130" s="21" t="n">
        <v>3</v>
      </c>
      <c r="F130" s="21" t="n">
        <f aca="false">D130-E130</f>
        <v>12</v>
      </c>
      <c r="G130" s="22" t="n">
        <f aca="false">IFERROR(F130/D130,0)</f>
        <v>0.8</v>
      </c>
      <c r="H130" s="23" t="n">
        <v>0.51</v>
      </c>
      <c r="I130" s="24" t="n">
        <v>28275</v>
      </c>
    </row>
    <row r="131" customFormat="false" ht="15" hidden="false" customHeight="false" outlineLevel="0" collapsed="false">
      <c r="A131" s="25" t="s">
        <v>62</v>
      </c>
      <c r="B131" s="25" t="s">
        <v>54</v>
      </c>
      <c r="C131" s="25" t="s">
        <v>53</v>
      </c>
      <c r="D131" s="26" t="n">
        <v>22</v>
      </c>
      <c r="E131" s="26" t="n">
        <v>4</v>
      </c>
      <c r="F131" s="26" t="n">
        <f aca="false">D131-E131</f>
        <v>18</v>
      </c>
      <c r="G131" s="27" t="n">
        <f aca="false">IFERROR(F131/D131,0)</f>
        <v>0.818181818181818</v>
      </c>
      <c r="H131" s="28" t="n">
        <v>0.57</v>
      </c>
      <c r="I131" s="29" t="n">
        <v>22017</v>
      </c>
    </row>
    <row r="132" customFormat="false" ht="15" hidden="false" customHeight="false" outlineLevel="0" collapsed="false">
      <c r="A132" s="20" t="s">
        <v>62</v>
      </c>
      <c r="B132" s="20" t="s">
        <v>55</v>
      </c>
      <c r="C132" s="20" t="s">
        <v>49</v>
      </c>
      <c r="D132" s="21" t="n">
        <v>20</v>
      </c>
      <c r="E132" s="21" t="n">
        <v>4</v>
      </c>
      <c r="F132" s="21" t="n">
        <f aca="false">D132-E132</f>
        <v>16</v>
      </c>
      <c r="G132" s="22" t="n">
        <f aca="false">IFERROR(F132/D132,0)</f>
        <v>0.8</v>
      </c>
      <c r="H132" s="23" t="n">
        <v>0.57</v>
      </c>
      <c r="I132" s="24" t="n">
        <v>17469</v>
      </c>
    </row>
    <row r="133" customFormat="false" ht="15" hidden="false" customHeight="false" outlineLevel="0" collapsed="false">
      <c r="A133" s="25" t="s">
        <v>62</v>
      </c>
      <c r="B133" s="25" t="s">
        <v>55</v>
      </c>
      <c r="C133" s="25" t="s">
        <v>50</v>
      </c>
      <c r="D133" s="26" t="n">
        <v>29</v>
      </c>
      <c r="E133" s="26" t="n">
        <v>10</v>
      </c>
      <c r="F133" s="26" t="n">
        <f aca="false">D133-E133</f>
        <v>19</v>
      </c>
      <c r="G133" s="27" t="n">
        <f aca="false">IFERROR(F133/D133,0)</f>
        <v>0.655172413793103</v>
      </c>
      <c r="H133" s="28" t="n">
        <v>0.7</v>
      </c>
      <c r="I133" s="29" t="n">
        <v>12446</v>
      </c>
    </row>
    <row r="134" customFormat="false" ht="15" hidden="false" customHeight="false" outlineLevel="0" collapsed="false">
      <c r="A134" s="20" t="s">
        <v>62</v>
      </c>
      <c r="B134" s="20" t="s">
        <v>55</v>
      </c>
      <c r="C134" s="20" t="s">
        <v>51</v>
      </c>
      <c r="D134" s="21" t="n">
        <v>28</v>
      </c>
      <c r="E134" s="21" t="n">
        <v>13</v>
      </c>
      <c r="F134" s="21" t="n">
        <f aca="false">D134-E134</f>
        <v>15</v>
      </c>
      <c r="G134" s="22" t="n">
        <f aca="false">IFERROR(F134/D134,0)</f>
        <v>0.535714285714286</v>
      </c>
      <c r="H134" s="23" t="n">
        <v>0.72</v>
      </c>
      <c r="I134" s="24" t="n">
        <v>10873</v>
      </c>
    </row>
    <row r="135" customFormat="false" ht="15" hidden="false" customHeight="false" outlineLevel="0" collapsed="false">
      <c r="A135" s="25" t="s">
        <v>62</v>
      </c>
      <c r="B135" s="25" t="s">
        <v>55</v>
      </c>
      <c r="C135" s="25" t="s">
        <v>52</v>
      </c>
      <c r="D135" s="26" t="n">
        <v>21</v>
      </c>
      <c r="E135" s="26" t="n">
        <v>10</v>
      </c>
      <c r="F135" s="26" t="n">
        <f aca="false">D135-E135</f>
        <v>11</v>
      </c>
      <c r="G135" s="27" t="n">
        <f aca="false">IFERROR(F135/D135,0)</f>
        <v>0.523809523809524</v>
      </c>
      <c r="H135" s="28" t="n">
        <v>0.57</v>
      </c>
      <c r="I135" s="29" t="n">
        <v>17317</v>
      </c>
    </row>
    <row r="136" customFormat="false" ht="15" hidden="false" customHeight="false" outlineLevel="0" collapsed="false">
      <c r="A136" s="20" t="s">
        <v>62</v>
      </c>
      <c r="B136" s="20" t="s">
        <v>55</v>
      </c>
      <c r="C136" s="20" t="s">
        <v>53</v>
      </c>
      <c r="D136" s="21" t="n">
        <v>45</v>
      </c>
      <c r="E136" s="21" t="n">
        <v>17</v>
      </c>
      <c r="F136" s="21" t="n">
        <f aca="false">D136-E136</f>
        <v>28</v>
      </c>
      <c r="G136" s="22" t="n">
        <f aca="false">IFERROR(F136/D136,0)</f>
        <v>0.622222222222222</v>
      </c>
      <c r="H136" s="23" t="n">
        <v>0.77</v>
      </c>
      <c r="I136" s="24" t="n">
        <v>13547</v>
      </c>
    </row>
    <row r="137" customFormat="false" ht="15" hidden="false" customHeight="false" outlineLevel="0" collapsed="false">
      <c r="A137" s="25" t="s">
        <v>62</v>
      </c>
      <c r="B137" s="25" t="s">
        <v>56</v>
      </c>
      <c r="C137" s="25" t="s">
        <v>49</v>
      </c>
      <c r="D137" s="26" t="n">
        <v>20</v>
      </c>
      <c r="E137" s="26" t="n">
        <v>8</v>
      </c>
      <c r="F137" s="26" t="n">
        <f aca="false">D137-E137</f>
        <v>12</v>
      </c>
      <c r="G137" s="27" t="n">
        <f aca="false">IFERROR(F137/D137,0)</f>
        <v>0.6</v>
      </c>
      <c r="H137" s="28" t="n">
        <v>0.58</v>
      </c>
      <c r="I137" s="29" t="n">
        <v>19635</v>
      </c>
    </row>
    <row r="138" customFormat="false" ht="15" hidden="false" customHeight="false" outlineLevel="0" collapsed="false">
      <c r="A138" s="20" t="s">
        <v>62</v>
      </c>
      <c r="B138" s="20" t="s">
        <v>56</v>
      </c>
      <c r="C138" s="20" t="s">
        <v>50</v>
      </c>
      <c r="D138" s="21" t="n">
        <v>27</v>
      </c>
      <c r="E138" s="21" t="n">
        <v>18</v>
      </c>
      <c r="F138" s="21" t="n">
        <f aca="false">D138-E138</f>
        <v>9</v>
      </c>
      <c r="G138" s="22" t="n">
        <f aca="false">IFERROR(F138/D138,0)</f>
        <v>0.333333333333333</v>
      </c>
      <c r="H138" s="23" t="n">
        <v>0.71</v>
      </c>
      <c r="I138" s="24" t="n">
        <v>14210</v>
      </c>
    </row>
    <row r="139" customFormat="false" ht="15" hidden="false" customHeight="false" outlineLevel="0" collapsed="false">
      <c r="A139" s="25" t="s">
        <v>62</v>
      </c>
      <c r="B139" s="25" t="s">
        <v>56</v>
      </c>
      <c r="C139" s="25" t="s">
        <v>51</v>
      </c>
      <c r="D139" s="26" t="n">
        <v>30</v>
      </c>
      <c r="E139" s="26" t="n">
        <v>16</v>
      </c>
      <c r="F139" s="26" t="n">
        <f aca="false">D139-E139</f>
        <v>14</v>
      </c>
      <c r="G139" s="27" t="n">
        <f aca="false">IFERROR(F139/D139,0)</f>
        <v>0.466666666666667</v>
      </c>
      <c r="H139" s="28" t="n">
        <v>0.66</v>
      </c>
      <c r="I139" s="29" t="n">
        <v>11237</v>
      </c>
    </row>
    <row r="140" customFormat="false" ht="15" hidden="false" customHeight="false" outlineLevel="0" collapsed="false">
      <c r="A140" s="20" t="s">
        <v>62</v>
      </c>
      <c r="B140" s="20" t="s">
        <v>56</v>
      </c>
      <c r="C140" s="20" t="s">
        <v>52</v>
      </c>
      <c r="D140" s="21" t="n">
        <v>29</v>
      </c>
      <c r="E140" s="21" t="n">
        <v>15</v>
      </c>
      <c r="F140" s="21" t="n">
        <f aca="false">D140-E140</f>
        <v>14</v>
      </c>
      <c r="G140" s="22" t="n">
        <f aca="false">IFERROR(F140/D140,0)</f>
        <v>0.482758620689655</v>
      </c>
      <c r="H140" s="23" t="n">
        <v>0.76</v>
      </c>
      <c r="I140" s="24" t="n">
        <v>20584</v>
      </c>
    </row>
    <row r="141" customFormat="false" ht="15" hidden="false" customHeight="false" outlineLevel="0" collapsed="false">
      <c r="A141" s="25" t="s">
        <v>62</v>
      </c>
      <c r="B141" s="25" t="s">
        <v>56</v>
      </c>
      <c r="C141" s="25" t="s">
        <v>53</v>
      </c>
      <c r="D141" s="26" t="n">
        <v>81</v>
      </c>
      <c r="E141" s="26" t="n">
        <v>50</v>
      </c>
      <c r="F141" s="26" t="n">
        <f aca="false">D141-E141</f>
        <v>31</v>
      </c>
      <c r="G141" s="27" t="n">
        <f aca="false">IFERROR(F141/D141,0)</f>
        <v>0.382716049382716</v>
      </c>
      <c r="H141" s="28" t="n">
        <v>0.71</v>
      </c>
      <c r="I141" s="29" t="n">
        <v>13272</v>
      </c>
    </row>
    <row r="142" customFormat="false" ht="15" hidden="false" customHeight="false" outlineLevel="0" collapsed="false">
      <c r="A142" s="20" t="s">
        <v>62</v>
      </c>
      <c r="B142" s="20" t="s">
        <v>57</v>
      </c>
      <c r="C142" s="20" t="s">
        <v>49</v>
      </c>
      <c r="D142" s="21" t="n">
        <v>15</v>
      </c>
      <c r="E142" s="21" t="n">
        <v>3</v>
      </c>
      <c r="F142" s="21" t="n">
        <f aca="false">D142-E142</f>
        <v>12</v>
      </c>
      <c r="G142" s="22" t="n">
        <f aca="false">IFERROR(F142/D142,0)</f>
        <v>0.8</v>
      </c>
      <c r="H142" s="23" t="n">
        <v>0.53</v>
      </c>
      <c r="I142" s="24" t="n">
        <v>23209</v>
      </c>
    </row>
    <row r="143" customFormat="false" ht="15" hidden="false" customHeight="false" outlineLevel="0" collapsed="false">
      <c r="A143" s="25" t="s">
        <v>62</v>
      </c>
      <c r="B143" s="25" t="s">
        <v>57</v>
      </c>
      <c r="C143" s="25" t="s">
        <v>50</v>
      </c>
      <c r="D143" s="26" t="n">
        <v>17</v>
      </c>
      <c r="E143" s="26" t="n">
        <v>3</v>
      </c>
      <c r="F143" s="26" t="n">
        <f aca="false">D143-E143</f>
        <v>14</v>
      </c>
      <c r="G143" s="27" t="n">
        <f aca="false">IFERROR(F143/D143,0)</f>
        <v>0.823529411764706</v>
      </c>
      <c r="H143" s="28" t="n">
        <v>0.47</v>
      </c>
      <c r="I143" s="29" t="n">
        <v>17752</v>
      </c>
    </row>
    <row r="144" customFormat="false" ht="15" hidden="false" customHeight="false" outlineLevel="0" collapsed="false">
      <c r="A144" s="20" t="s">
        <v>62</v>
      </c>
      <c r="B144" s="20" t="s">
        <v>57</v>
      </c>
      <c r="C144" s="20" t="s">
        <v>51</v>
      </c>
      <c r="D144" s="21" t="n">
        <v>15</v>
      </c>
      <c r="E144" s="21" t="n">
        <v>3</v>
      </c>
      <c r="F144" s="21" t="n">
        <f aca="false">D144-E144</f>
        <v>12</v>
      </c>
      <c r="G144" s="22" t="n">
        <f aca="false">IFERROR(F144/D144,0)</f>
        <v>0.8</v>
      </c>
      <c r="H144" s="23" t="n">
        <v>0.58</v>
      </c>
      <c r="I144" s="24" t="n">
        <v>15094</v>
      </c>
    </row>
    <row r="145" customFormat="false" ht="15" hidden="false" customHeight="false" outlineLevel="0" collapsed="false">
      <c r="A145" s="25" t="s">
        <v>62</v>
      </c>
      <c r="B145" s="25" t="s">
        <v>57</v>
      </c>
      <c r="C145" s="25" t="s">
        <v>52</v>
      </c>
      <c r="D145" s="26" t="n">
        <v>15</v>
      </c>
      <c r="E145" s="26" t="n">
        <v>3</v>
      </c>
      <c r="F145" s="26" t="n">
        <f aca="false">D145-E145</f>
        <v>12</v>
      </c>
      <c r="G145" s="27" t="n">
        <f aca="false">IFERROR(F145/D145,0)</f>
        <v>0.8</v>
      </c>
      <c r="H145" s="28" t="n">
        <v>0.45</v>
      </c>
      <c r="I145" s="29" t="n">
        <v>22881</v>
      </c>
    </row>
    <row r="146" customFormat="false" ht="15" hidden="false" customHeight="false" outlineLevel="0" collapsed="false">
      <c r="A146" s="20" t="s">
        <v>62</v>
      </c>
      <c r="B146" s="20" t="s">
        <v>57</v>
      </c>
      <c r="C146" s="20" t="s">
        <v>53</v>
      </c>
      <c r="D146" s="21" t="n">
        <v>37</v>
      </c>
      <c r="E146" s="21" t="n">
        <v>7</v>
      </c>
      <c r="F146" s="21" t="n">
        <f aca="false">D146-E146</f>
        <v>30</v>
      </c>
      <c r="G146" s="22" t="n">
        <f aca="false">IFERROR(F146/D146,0)</f>
        <v>0.810810810810811</v>
      </c>
      <c r="H146" s="23" t="n">
        <v>0.58</v>
      </c>
      <c r="I146" s="24" t="n">
        <v>16689</v>
      </c>
    </row>
    <row r="147" customFormat="false" ht="15" hidden="false" customHeight="false" outlineLevel="0" collapsed="false">
      <c r="A147" s="25" t="s">
        <v>62</v>
      </c>
      <c r="B147" s="25" t="s">
        <v>58</v>
      </c>
      <c r="C147" s="25" t="s">
        <v>49</v>
      </c>
      <c r="D147" s="26" t="n">
        <v>39</v>
      </c>
      <c r="E147" s="26" t="n">
        <v>12</v>
      </c>
      <c r="F147" s="26" t="n">
        <f aca="false">D147-E147</f>
        <v>27</v>
      </c>
      <c r="G147" s="27" t="n">
        <f aca="false">IFERROR(F147/D147,0)</f>
        <v>0.692307692307692</v>
      </c>
      <c r="H147" s="28" t="n">
        <v>0.71</v>
      </c>
      <c r="I147" s="29" t="n">
        <v>16098</v>
      </c>
    </row>
    <row r="148" customFormat="false" ht="15" hidden="false" customHeight="false" outlineLevel="0" collapsed="false">
      <c r="A148" s="20" t="s">
        <v>62</v>
      </c>
      <c r="B148" s="20" t="s">
        <v>58</v>
      </c>
      <c r="C148" s="20" t="s">
        <v>50</v>
      </c>
      <c r="D148" s="21" t="n">
        <v>24</v>
      </c>
      <c r="E148" s="21" t="n">
        <v>8</v>
      </c>
      <c r="F148" s="21" t="n">
        <f aca="false">D148-E148</f>
        <v>16</v>
      </c>
      <c r="G148" s="22" t="n">
        <f aca="false">IFERROR(F148/D148,0)</f>
        <v>0.666666666666667</v>
      </c>
      <c r="H148" s="23" t="n">
        <v>0.81</v>
      </c>
      <c r="I148" s="24" t="n">
        <v>10914</v>
      </c>
    </row>
    <row r="149" customFormat="false" ht="15" hidden="false" customHeight="false" outlineLevel="0" collapsed="false">
      <c r="A149" s="25" t="s">
        <v>62</v>
      </c>
      <c r="B149" s="25" t="s">
        <v>58</v>
      </c>
      <c r="C149" s="25" t="s">
        <v>51</v>
      </c>
      <c r="D149" s="26" t="n">
        <v>96</v>
      </c>
      <c r="E149" s="26" t="n">
        <v>54</v>
      </c>
      <c r="F149" s="26" t="n">
        <f aca="false">D149-E149</f>
        <v>42</v>
      </c>
      <c r="G149" s="27" t="n">
        <f aca="false">IFERROR(F149/D149,0)</f>
        <v>0.4375</v>
      </c>
      <c r="H149" s="28" t="n">
        <v>0.81</v>
      </c>
      <c r="I149" s="29" t="n">
        <v>9128</v>
      </c>
    </row>
    <row r="150" customFormat="false" ht="15" hidden="false" customHeight="false" outlineLevel="0" collapsed="false">
      <c r="A150" s="20" t="s">
        <v>62</v>
      </c>
      <c r="B150" s="20" t="s">
        <v>58</v>
      </c>
      <c r="C150" s="20" t="s">
        <v>52</v>
      </c>
      <c r="D150" s="21" t="n">
        <v>39</v>
      </c>
      <c r="E150" s="21" t="n">
        <v>16</v>
      </c>
      <c r="F150" s="21" t="n">
        <f aca="false">D150-E150</f>
        <v>23</v>
      </c>
      <c r="G150" s="22" t="n">
        <f aca="false">IFERROR(F150/D150,0)</f>
        <v>0.58974358974359</v>
      </c>
      <c r="H150" s="23" t="n">
        <v>0.72</v>
      </c>
      <c r="I150" s="24" t="n">
        <v>16969</v>
      </c>
    </row>
    <row r="151" customFormat="false" ht="15" hidden="false" customHeight="false" outlineLevel="0" collapsed="false">
      <c r="A151" s="25" t="s">
        <v>62</v>
      </c>
      <c r="B151" s="25" t="s">
        <v>58</v>
      </c>
      <c r="C151" s="25" t="s">
        <v>53</v>
      </c>
      <c r="D151" s="26" t="n">
        <v>49</v>
      </c>
      <c r="E151" s="26" t="n">
        <v>26</v>
      </c>
      <c r="F151" s="26" t="n">
        <f aca="false">D151-E151</f>
        <v>23</v>
      </c>
      <c r="G151" s="27" t="n">
        <f aca="false">IFERROR(F151/D151,0)</f>
        <v>0.469387755102041</v>
      </c>
      <c r="H151" s="28" t="n">
        <v>0.84</v>
      </c>
      <c r="I151" s="29" t="n">
        <v>11630</v>
      </c>
    </row>
    <row r="152" customFormat="false" ht="15" hidden="false" customHeight="false" outlineLevel="0" collapsed="false">
      <c r="A152" s="20" t="s">
        <v>63</v>
      </c>
      <c r="B152" s="20" t="s">
        <v>48</v>
      </c>
      <c r="C152" s="20" t="s">
        <v>49</v>
      </c>
      <c r="D152" s="21" t="n">
        <v>42</v>
      </c>
      <c r="E152" s="21" t="n">
        <v>13</v>
      </c>
      <c r="F152" s="21" t="n">
        <f aca="false">D152-E152</f>
        <v>29</v>
      </c>
      <c r="G152" s="22" t="n">
        <f aca="false">IFERROR(F152/D152,0)</f>
        <v>0.690476190476191</v>
      </c>
      <c r="H152" s="23" t="n">
        <v>0.74</v>
      </c>
      <c r="I152" s="24" t="n">
        <v>16312</v>
      </c>
    </row>
    <row r="153" customFormat="false" ht="15" hidden="false" customHeight="false" outlineLevel="0" collapsed="false">
      <c r="A153" s="25" t="s">
        <v>63</v>
      </c>
      <c r="B153" s="25" t="s">
        <v>48</v>
      </c>
      <c r="C153" s="25" t="s">
        <v>50</v>
      </c>
      <c r="D153" s="26" t="n">
        <v>69</v>
      </c>
      <c r="E153" s="26" t="n">
        <v>39</v>
      </c>
      <c r="F153" s="26" t="n">
        <f aca="false">D153-E153</f>
        <v>30</v>
      </c>
      <c r="G153" s="27" t="n">
        <f aca="false">IFERROR(F153/D153,0)</f>
        <v>0.434782608695652</v>
      </c>
      <c r="H153" s="28" t="n">
        <v>0.8</v>
      </c>
      <c r="I153" s="29" t="n">
        <v>11781</v>
      </c>
    </row>
    <row r="154" customFormat="false" ht="15" hidden="false" customHeight="false" outlineLevel="0" collapsed="false">
      <c r="A154" s="20" t="s">
        <v>63</v>
      </c>
      <c r="B154" s="20" t="s">
        <v>48</v>
      </c>
      <c r="C154" s="20" t="s">
        <v>51</v>
      </c>
      <c r="D154" s="21" t="n">
        <v>66</v>
      </c>
      <c r="E154" s="21" t="n">
        <v>31</v>
      </c>
      <c r="F154" s="21" t="n">
        <f aca="false">D154-E154</f>
        <v>35</v>
      </c>
      <c r="G154" s="22" t="n">
        <f aca="false">IFERROR(F154/D154,0)</f>
        <v>0.53030303030303</v>
      </c>
      <c r="H154" s="23" t="n">
        <v>0.65</v>
      </c>
      <c r="I154" s="24" t="n">
        <v>10522</v>
      </c>
    </row>
    <row r="155" customFormat="false" ht="15" hidden="false" customHeight="false" outlineLevel="0" collapsed="false">
      <c r="A155" s="25" t="s">
        <v>63</v>
      </c>
      <c r="B155" s="25" t="s">
        <v>48</v>
      </c>
      <c r="C155" s="25" t="s">
        <v>52</v>
      </c>
      <c r="D155" s="26" t="n">
        <v>67</v>
      </c>
      <c r="E155" s="26" t="n">
        <v>30</v>
      </c>
      <c r="F155" s="26" t="n">
        <f aca="false">D155-E155</f>
        <v>37</v>
      </c>
      <c r="G155" s="27" t="n">
        <f aca="false">IFERROR(F155/D155,0)</f>
        <v>0.552238805970149</v>
      </c>
      <c r="H155" s="28" t="n">
        <v>0.79</v>
      </c>
      <c r="I155" s="29" t="n">
        <v>16129</v>
      </c>
    </row>
    <row r="156" customFormat="false" ht="15" hidden="false" customHeight="false" outlineLevel="0" collapsed="false">
      <c r="A156" s="20" t="s">
        <v>63</v>
      </c>
      <c r="B156" s="20" t="s">
        <v>48</v>
      </c>
      <c r="C156" s="20" t="s">
        <v>53</v>
      </c>
      <c r="D156" s="21" t="n">
        <v>195</v>
      </c>
      <c r="E156" s="21" t="n">
        <v>106</v>
      </c>
      <c r="F156" s="21" t="n">
        <f aca="false">D156-E156</f>
        <v>89</v>
      </c>
      <c r="G156" s="22" t="n">
        <f aca="false">IFERROR(F156/D156,0)</f>
        <v>0.456410256410256</v>
      </c>
      <c r="H156" s="23" t="n">
        <v>0.85</v>
      </c>
      <c r="I156" s="24" t="n">
        <v>12579</v>
      </c>
    </row>
    <row r="157" customFormat="false" ht="15" hidden="false" customHeight="false" outlineLevel="0" collapsed="false">
      <c r="A157" s="25" t="s">
        <v>63</v>
      </c>
      <c r="B157" s="25" t="s">
        <v>54</v>
      </c>
      <c r="C157" s="25" t="s">
        <v>49</v>
      </c>
      <c r="D157" s="26" t="n">
        <v>116</v>
      </c>
      <c r="E157" s="26" t="n">
        <v>21</v>
      </c>
      <c r="F157" s="26" t="n">
        <f aca="false">D157-E157</f>
        <v>95</v>
      </c>
      <c r="G157" s="27" t="n">
        <f aca="false">IFERROR(F157/D157,0)</f>
        <v>0.818965517241379</v>
      </c>
      <c r="H157" s="28" t="n">
        <v>0.6</v>
      </c>
      <c r="I157" s="29" t="n">
        <v>27187</v>
      </c>
    </row>
    <row r="158" customFormat="false" ht="15" hidden="false" customHeight="false" outlineLevel="0" collapsed="false">
      <c r="A158" s="20" t="s">
        <v>63</v>
      </c>
      <c r="B158" s="20" t="s">
        <v>54</v>
      </c>
      <c r="C158" s="20" t="s">
        <v>50</v>
      </c>
      <c r="D158" s="21" t="n">
        <v>25</v>
      </c>
      <c r="E158" s="21" t="n">
        <v>9</v>
      </c>
      <c r="F158" s="21" t="n">
        <f aca="false">D158-E158</f>
        <v>16</v>
      </c>
      <c r="G158" s="22" t="n">
        <f aca="false">IFERROR(F158/D158,0)</f>
        <v>0.64</v>
      </c>
      <c r="H158" s="23" t="n">
        <v>0.48</v>
      </c>
      <c r="I158" s="24" t="n">
        <v>22077</v>
      </c>
    </row>
    <row r="159" customFormat="false" ht="15" hidden="false" customHeight="false" outlineLevel="0" collapsed="false">
      <c r="A159" s="25" t="s">
        <v>63</v>
      </c>
      <c r="B159" s="25" t="s">
        <v>54</v>
      </c>
      <c r="C159" s="25" t="s">
        <v>51</v>
      </c>
      <c r="D159" s="26" t="n">
        <v>39</v>
      </c>
      <c r="E159" s="26" t="n">
        <v>10</v>
      </c>
      <c r="F159" s="26" t="n">
        <f aca="false">D159-E159</f>
        <v>29</v>
      </c>
      <c r="G159" s="27" t="n">
        <f aca="false">IFERROR(F159/D159,0)</f>
        <v>0.743589743589744</v>
      </c>
      <c r="H159" s="28" t="n">
        <v>0.58</v>
      </c>
      <c r="I159" s="29" t="n">
        <v>17873</v>
      </c>
    </row>
    <row r="160" customFormat="false" ht="15" hidden="false" customHeight="false" outlineLevel="0" collapsed="false">
      <c r="A160" s="20" t="s">
        <v>63</v>
      </c>
      <c r="B160" s="20" t="s">
        <v>54</v>
      </c>
      <c r="C160" s="20" t="s">
        <v>52</v>
      </c>
      <c r="D160" s="21" t="n">
        <v>27</v>
      </c>
      <c r="E160" s="21" t="n">
        <v>10</v>
      </c>
      <c r="F160" s="21" t="n">
        <f aca="false">D160-E160</f>
        <v>17</v>
      </c>
      <c r="G160" s="22" t="n">
        <f aca="false">IFERROR(F160/D160,0)</f>
        <v>0.62962962962963</v>
      </c>
      <c r="H160" s="23" t="n">
        <v>0.42</v>
      </c>
      <c r="I160" s="24" t="n">
        <v>31862</v>
      </c>
    </row>
    <row r="161" customFormat="false" ht="15" hidden="false" customHeight="false" outlineLevel="0" collapsed="false">
      <c r="A161" s="25" t="s">
        <v>63</v>
      </c>
      <c r="B161" s="25" t="s">
        <v>54</v>
      </c>
      <c r="C161" s="25" t="s">
        <v>53</v>
      </c>
      <c r="D161" s="26" t="n">
        <v>48</v>
      </c>
      <c r="E161" s="26" t="n">
        <v>17</v>
      </c>
      <c r="F161" s="26" t="n">
        <f aca="false">D161-E161</f>
        <v>31</v>
      </c>
      <c r="G161" s="27" t="n">
        <f aca="false">IFERROR(F161/D161,0)</f>
        <v>0.645833333333333</v>
      </c>
      <c r="H161" s="28" t="n">
        <v>0.47</v>
      </c>
      <c r="I161" s="29" t="n">
        <v>22814</v>
      </c>
    </row>
    <row r="162" customFormat="false" ht="15" hidden="false" customHeight="false" outlineLevel="0" collapsed="false">
      <c r="A162" s="20" t="s">
        <v>63</v>
      </c>
      <c r="B162" s="20" t="s">
        <v>55</v>
      </c>
      <c r="C162" s="20" t="s">
        <v>49</v>
      </c>
      <c r="D162" s="21" t="n">
        <v>52</v>
      </c>
      <c r="E162" s="21" t="n">
        <v>15</v>
      </c>
      <c r="F162" s="21" t="n">
        <f aca="false">D162-E162</f>
        <v>37</v>
      </c>
      <c r="G162" s="22" t="n">
        <f aca="false">IFERROR(F162/D162,0)</f>
        <v>0.711538461538462</v>
      </c>
      <c r="H162" s="23" t="n">
        <v>0.57</v>
      </c>
      <c r="I162" s="24" t="n">
        <v>16464</v>
      </c>
    </row>
    <row r="163" customFormat="false" ht="15" hidden="false" customHeight="false" outlineLevel="0" collapsed="false">
      <c r="A163" s="25" t="s">
        <v>63</v>
      </c>
      <c r="B163" s="25" t="s">
        <v>55</v>
      </c>
      <c r="C163" s="25" t="s">
        <v>50</v>
      </c>
      <c r="D163" s="26" t="n">
        <v>70</v>
      </c>
      <c r="E163" s="26" t="n">
        <v>28</v>
      </c>
      <c r="F163" s="26" t="n">
        <f aca="false">D163-E163</f>
        <v>42</v>
      </c>
      <c r="G163" s="27" t="n">
        <f aca="false">IFERROR(F163/D163,0)</f>
        <v>0.6</v>
      </c>
      <c r="H163" s="28" t="n">
        <v>0.63</v>
      </c>
      <c r="I163" s="29" t="n">
        <v>12146</v>
      </c>
    </row>
    <row r="164" customFormat="false" ht="15" hidden="false" customHeight="false" outlineLevel="0" collapsed="false">
      <c r="A164" s="20" t="s">
        <v>63</v>
      </c>
      <c r="B164" s="20" t="s">
        <v>55</v>
      </c>
      <c r="C164" s="20" t="s">
        <v>51</v>
      </c>
      <c r="D164" s="21" t="n">
        <v>67</v>
      </c>
      <c r="E164" s="21" t="n">
        <v>31</v>
      </c>
      <c r="F164" s="21" t="n">
        <f aca="false">D164-E164</f>
        <v>36</v>
      </c>
      <c r="G164" s="22" t="n">
        <f aca="false">IFERROR(F164/D164,0)</f>
        <v>0.537313432835821</v>
      </c>
      <c r="H164" s="23" t="n">
        <v>0.76</v>
      </c>
      <c r="I164" s="24" t="n">
        <v>10335</v>
      </c>
    </row>
    <row r="165" customFormat="false" ht="15" hidden="false" customHeight="false" outlineLevel="0" collapsed="false">
      <c r="A165" s="25" t="s">
        <v>63</v>
      </c>
      <c r="B165" s="25" t="s">
        <v>55</v>
      </c>
      <c r="C165" s="25" t="s">
        <v>52</v>
      </c>
      <c r="D165" s="26" t="n">
        <v>53</v>
      </c>
      <c r="E165" s="26" t="n">
        <v>19</v>
      </c>
      <c r="F165" s="26" t="n">
        <f aca="false">D165-E165</f>
        <v>34</v>
      </c>
      <c r="G165" s="27" t="n">
        <f aca="false">IFERROR(F165/D165,0)</f>
        <v>0.641509433962264</v>
      </c>
      <c r="H165" s="28" t="n">
        <v>0.79</v>
      </c>
      <c r="I165" s="29" t="n">
        <v>19034</v>
      </c>
    </row>
    <row r="166" customFormat="false" ht="15" hidden="false" customHeight="false" outlineLevel="0" collapsed="false">
      <c r="A166" s="20" t="s">
        <v>63</v>
      </c>
      <c r="B166" s="20" t="s">
        <v>55</v>
      </c>
      <c r="C166" s="20" t="s">
        <v>53</v>
      </c>
      <c r="D166" s="21" t="n">
        <v>103</v>
      </c>
      <c r="E166" s="21" t="n">
        <v>47</v>
      </c>
      <c r="F166" s="21" t="n">
        <f aca="false">D166-E166</f>
        <v>56</v>
      </c>
      <c r="G166" s="22" t="n">
        <f aca="false">IFERROR(F166/D166,0)</f>
        <v>0.54368932038835</v>
      </c>
      <c r="H166" s="23" t="n">
        <v>0.78</v>
      </c>
      <c r="I166" s="24" t="n">
        <v>12456</v>
      </c>
    </row>
    <row r="167" customFormat="false" ht="15" hidden="false" customHeight="false" outlineLevel="0" collapsed="false">
      <c r="A167" s="25" t="s">
        <v>63</v>
      </c>
      <c r="B167" s="25" t="s">
        <v>56</v>
      </c>
      <c r="C167" s="25" t="s">
        <v>49</v>
      </c>
      <c r="D167" s="26" t="n">
        <v>40</v>
      </c>
      <c r="E167" s="26" t="n">
        <v>15</v>
      </c>
      <c r="F167" s="26" t="n">
        <f aca="false">D167-E167</f>
        <v>25</v>
      </c>
      <c r="G167" s="27" t="n">
        <f aca="false">IFERROR(F167/D167,0)</f>
        <v>0.625</v>
      </c>
      <c r="H167" s="28" t="n">
        <v>0.78</v>
      </c>
      <c r="I167" s="29" t="n">
        <v>19064</v>
      </c>
    </row>
    <row r="168" customFormat="false" ht="15" hidden="false" customHeight="false" outlineLevel="0" collapsed="false">
      <c r="A168" s="20" t="s">
        <v>63</v>
      </c>
      <c r="B168" s="20" t="s">
        <v>56</v>
      </c>
      <c r="C168" s="20" t="s">
        <v>50</v>
      </c>
      <c r="D168" s="21" t="n">
        <v>55</v>
      </c>
      <c r="E168" s="21" t="n">
        <v>27</v>
      </c>
      <c r="F168" s="21" t="n">
        <f aca="false">D168-E168</f>
        <v>28</v>
      </c>
      <c r="G168" s="22" t="n">
        <f aca="false">IFERROR(F168/D168,0)</f>
        <v>0.509090909090909</v>
      </c>
      <c r="H168" s="23" t="n">
        <v>0.63</v>
      </c>
      <c r="I168" s="24" t="n">
        <v>14037</v>
      </c>
    </row>
    <row r="169" customFormat="false" ht="15" hidden="false" customHeight="false" outlineLevel="0" collapsed="false">
      <c r="A169" s="25" t="s">
        <v>63</v>
      </c>
      <c r="B169" s="25" t="s">
        <v>56</v>
      </c>
      <c r="C169" s="25" t="s">
        <v>51</v>
      </c>
      <c r="D169" s="26" t="n">
        <v>60</v>
      </c>
      <c r="E169" s="26" t="n">
        <v>36</v>
      </c>
      <c r="F169" s="26" t="n">
        <f aca="false">D169-E169</f>
        <v>24</v>
      </c>
      <c r="G169" s="27" t="n">
        <f aca="false">IFERROR(F169/D169,0)</f>
        <v>0.4</v>
      </c>
      <c r="H169" s="28" t="n">
        <v>0.78</v>
      </c>
      <c r="I169" s="29" t="n">
        <v>11337</v>
      </c>
    </row>
    <row r="170" customFormat="false" ht="15" hidden="false" customHeight="false" outlineLevel="0" collapsed="false">
      <c r="A170" s="20" t="s">
        <v>63</v>
      </c>
      <c r="B170" s="20" t="s">
        <v>56</v>
      </c>
      <c r="C170" s="20" t="s">
        <v>52</v>
      </c>
      <c r="D170" s="21" t="n">
        <v>59</v>
      </c>
      <c r="E170" s="21" t="n">
        <v>36</v>
      </c>
      <c r="F170" s="21" t="n">
        <f aca="false">D170-E170</f>
        <v>23</v>
      </c>
      <c r="G170" s="22" t="n">
        <f aca="false">IFERROR(F170/D170,0)</f>
        <v>0.389830508474576</v>
      </c>
      <c r="H170" s="23" t="n">
        <v>0.78</v>
      </c>
      <c r="I170" s="24" t="n">
        <v>20598</v>
      </c>
    </row>
    <row r="171" customFormat="false" ht="15" hidden="false" customHeight="false" outlineLevel="0" collapsed="false">
      <c r="A171" s="25" t="s">
        <v>63</v>
      </c>
      <c r="B171" s="25" t="s">
        <v>56</v>
      </c>
      <c r="C171" s="25" t="s">
        <v>53</v>
      </c>
      <c r="D171" s="26" t="n">
        <v>180</v>
      </c>
      <c r="E171" s="26" t="n">
        <v>94</v>
      </c>
      <c r="F171" s="26" t="n">
        <f aca="false">D171-E171</f>
        <v>86</v>
      </c>
      <c r="G171" s="27" t="n">
        <f aca="false">IFERROR(F171/D171,0)</f>
        <v>0.477777777777778</v>
      </c>
      <c r="H171" s="28" t="n">
        <v>0.61</v>
      </c>
      <c r="I171" s="29" t="n">
        <v>14644</v>
      </c>
    </row>
    <row r="172" customFormat="false" ht="15" hidden="false" customHeight="false" outlineLevel="0" collapsed="false">
      <c r="A172" s="20" t="s">
        <v>63</v>
      </c>
      <c r="B172" s="20" t="s">
        <v>57</v>
      </c>
      <c r="C172" s="20" t="s">
        <v>49</v>
      </c>
      <c r="D172" s="21" t="n">
        <v>32</v>
      </c>
      <c r="E172" s="21" t="n">
        <v>3</v>
      </c>
      <c r="F172" s="21" t="n">
        <f aca="false">D172-E172</f>
        <v>29</v>
      </c>
      <c r="G172" s="22" t="n">
        <f aca="false">IFERROR(F172/D172,0)</f>
        <v>0.90625</v>
      </c>
      <c r="H172" s="23" t="n">
        <v>0.56</v>
      </c>
      <c r="I172" s="24" t="n">
        <v>23201</v>
      </c>
    </row>
    <row r="173" customFormat="false" ht="15" hidden="false" customHeight="false" outlineLevel="0" collapsed="false">
      <c r="A173" s="25" t="s">
        <v>63</v>
      </c>
      <c r="B173" s="25" t="s">
        <v>57</v>
      </c>
      <c r="C173" s="25" t="s">
        <v>50</v>
      </c>
      <c r="D173" s="26" t="n">
        <v>44</v>
      </c>
      <c r="E173" s="26" t="n">
        <v>7</v>
      </c>
      <c r="F173" s="26" t="n">
        <f aca="false">D173-E173</f>
        <v>37</v>
      </c>
      <c r="G173" s="27" t="n">
        <f aca="false">IFERROR(F173/D173,0)</f>
        <v>0.840909090909091</v>
      </c>
      <c r="H173" s="28" t="n">
        <v>0.65</v>
      </c>
      <c r="I173" s="29" t="n">
        <v>17590</v>
      </c>
    </row>
    <row r="174" customFormat="false" ht="15" hidden="false" customHeight="false" outlineLevel="0" collapsed="false">
      <c r="A174" s="20" t="s">
        <v>63</v>
      </c>
      <c r="B174" s="20" t="s">
        <v>57</v>
      </c>
      <c r="C174" s="20" t="s">
        <v>51</v>
      </c>
      <c r="D174" s="21" t="n">
        <v>20</v>
      </c>
      <c r="E174" s="21" t="n">
        <v>4</v>
      </c>
      <c r="F174" s="21" t="n">
        <f aca="false">D174-E174</f>
        <v>16</v>
      </c>
      <c r="G174" s="22" t="n">
        <f aca="false">IFERROR(F174/D174,0)</f>
        <v>0.8</v>
      </c>
      <c r="H174" s="23" t="n">
        <v>0.51</v>
      </c>
      <c r="I174" s="24" t="n">
        <v>14469</v>
      </c>
    </row>
    <row r="175" customFormat="false" ht="15" hidden="false" customHeight="false" outlineLevel="0" collapsed="false">
      <c r="A175" s="25" t="s">
        <v>63</v>
      </c>
      <c r="B175" s="25" t="s">
        <v>57</v>
      </c>
      <c r="C175" s="25" t="s">
        <v>52</v>
      </c>
      <c r="D175" s="26" t="n">
        <v>30</v>
      </c>
      <c r="E175" s="26" t="n">
        <v>7</v>
      </c>
      <c r="F175" s="26" t="n">
        <f aca="false">D175-E175</f>
        <v>23</v>
      </c>
      <c r="G175" s="27" t="n">
        <f aca="false">IFERROR(F175/D175,0)</f>
        <v>0.766666666666667</v>
      </c>
      <c r="H175" s="28" t="n">
        <v>0.46</v>
      </c>
      <c r="I175" s="29" t="n">
        <v>22617</v>
      </c>
    </row>
    <row r="176" customFormat="false" ht="15" hidden="false" customHeight="false" outlineLevel="0" collapsed="false">
      <c r="A176" s="20" t="s">
        <v>63</v>
      </c>
      <c r="B176" s="20" t="s">
        <v>57</v>
      </c>
      <c r="C176" s="20" t="s">
        <v>53</v>
      </c>
      <c r="D176" s="21" t="n">
        <v>86</v>
      </c>
      <c r="E176" s="21" t="n">
        <v>18</v>
      </c>
      <c r="F176" s="21" t="n">
        <f aca="false">D176-E176</f>
        <v>68</v>
      </c>
      <c r="G176" s="22" t="n">
        <f aca="false">IFERROR(F176/D176,0)</f>
        <v>0.790697674418605</v>
      </c>
      <c r="H176" s="23" t="n">
        <v>0.56</v>
      </c>
      <c r="I176" s="24" t="n">
        <v>17443</v>
      </c>
    </row>
    <row r="177" customFormat="false" ht="15" hidden="false" customHeight="false" outlineLevel="0" collapsed="false">
      <c r="A177" s="25" t="s">
        <v>63</v>
      </c>
      <c r="B177" s="25" t="s">
        <v>58</v>
      </c>
      <c r="C177" s="25" t="s">
        <v>49</v>
      </c>
      <c r="D177" s="26" t="n">
        <v>91</v>
      </c>
      <c r="E177" s="26" t="n">
        <v>28</v>
      </c>
      <c r="F177" s="26" t="n">
        <f aca="false">D177-E177</f>
        <v>63</v>
      </c>
      <c r="G177" s="27" t="n">
        <f aca="false">IFERROR(F177/D177,0)</f>
        <v>0.692307692307692</v>
      </c>
      <c r="H177" s="28" t="n">
        <v>0.62</v>
      </c>
      <c r="I177" s="29" t="n">
        <v>14382</v>
      </c>
    </row>
    <row r="178" customFormat="false" ht="15" hidden="false" customHeight="false" outlineLevel="0" collapsed="false">
      <c r="A178" s="20" t="s">
        <v>63</v>
      </c>
      <c r="B178" s="20" t="s">
        <v>58</v>
      </c>
      <c r="C178" s="20" t="s">
        <v>50</v>
      </c>
      <c r="D178" s="21" t="n">
        <v>61</v>
      </c>
      <c r="E178" s="21" t="n">
        <v>31</v>
      </c>
      <c r="F178" s="21" t="n">
        <f aca="false">D178-E178</f>
        <v>30</v>
      </c>
      <c r="G178" s="22" t="n">
        <f aca="false">IFERROR(F178/D178,0)</f>
        <v>0.491803278688525</v>
      </c>
      <c r="H178" s="23" t="n">
        <v>0.67</v>
      </c>
      <c r="I178" s="24" t="n">
        <v>10654</v>
      </c>
    </row>
    <row r="179" customFormat="false" ht="15" hidden="false" customHeight="false" outlineLevel="0" collapsed="false">
      <c r="A179" s="25" t="s">
        <v>63</v>
      </c>
      <c r="B179" s="25" t="s">
        <v>58</v>
      </c>
      <c r="C179" s="25" t="s">
        <v>51</v>
      </c>
      <c r="D179" s="26" t="n">
        <v>225</v>
      </c>
      <c r="E179" s="26" t="n">
        <v>96</v>
      </c>
      <c r="F179" s="26" t="n">
        <f aca="false">D179-E179</f>
        <v>129</v>
      </c>
      <c r="G179" s="27" t="n">
        <f aca="false">IFERROR(F179/D179,0)</f>
        <v>0.573333333333333</v>
      </c>
      <c r="H179" s="28" t="n">
        <v>0.66</v>
      </c>
      <c r="I179" s="29" t="n">
        <v>9135</v>
      </c>
    </row>
    <row r="180" customFormat="false" ht="15" hidden="false" customHeight="false" outlineLevel="0" collapsed="false">
      <c r="A180" s="20" t="s">
        <v>63</v>
      </c>
      <c r="B180" s="20" t="s">
        <v>58</v>
      </c>
      <c r="C180" s="20" t="s">
        <v>52</v>
      </c>
      <c r="D180" s="21" t="n">
        <v>91</v>
      </c>
      <c r="E180" s="21" t="n">
        <v>50</v>
      </c>
      <c r="F180" s="21" t="n">
        <f aca="false">D180-E180</f>
        <v>41</v>
      </c>
      <c r="G180" s="22" t="n">
        <f aca="false">IFERROR(F180/D180,0)</f>
        <v>0.450549450549451</v>
      </c>
      <c r="H180" s="23" t="n">
        <v>0.74</v>
      </c>
      <c r="I180" s="24" t="n">
        <v>17877</v>
      </c>
    </row>
    <row r="181" customFormat="false" ht="15" hidden="false" customHeight="false" outlineLevel="0" collapsed="false">
      <c r="A181" s="25" t="s">
        <v>63</v>
      </c>
      <c r="B181" s="25" t="s">
        <v>58</v>
      </c>
      <c r="C181" s="25" t="s">
        <v>53</v>
      </c>
      <c r="D181" s="26" t="n">
        <v>110</v>
      </c>
      <c r="E181" s="26" t="n">
        <v>41</v>
      </c>
      <c r="F181" s="26" t="n">
        <f aca="false">D181-E181</f>
        <v>69</v>
      </c>
      <c r="G181" s="27" t="n">
        <f aca="false">IFERROR(F181/D181,0)</f>
        <v>0.627272727272727</v>
      </c>
      <c r="H181" s="28" t="n">
        <v>0.77</v>
      </c>
      <c r="I181" s="29" t="n">
        <v>12460</v>
      </c>
    </row>
    <row r="182" customFormat="false" ht="15" hidden="false" customHeight="false" outlineLevel="0" collapsed="false">
      <c r="A182" s="20" t="s">
        <v>64</v>
      </c>
      <c r="B182" s="20" t="s">
        <v>48</v>
      </c>
      <c r="C182" s="20" t="s">
        <v>49</v>
      </c>
      <c r="D182" s="21" t="n">
        <v>15</v>
      </c>
      <c r="E182" s="21" t="n">
        <v>4</v>
      </c>
      <c r="F182" s="21" t="n">
        <f aca="false">D182-E182</f>
        <v>11</v>
      </c>
      <c r="G182" s="22" t="n">
        <f aca="false">IFERROR(F182/D182,0)</f>
        <v>0.733333333333333</v>
      </c>
      <c r="H182" s="23" t="n">
        <v>0.68</v>
      </c>
      <c r="I182" s="24" t="n">
        <v>16079</v>
      </c>
    </row>
    <row r="183" customFormat="false" ht="15" hidden="false" customHeight="false" outlineLevel="0" collapsed="false">
      <c r="A183" s="25" t="s">
        <v>64</v>
      </c>
      <c r="B183" s="25" t="s">
        <v>48</v>
      </c>
      <c r="C183" s="25" t="s">
        <v>50</v>
      </c>
      <c r="D183" s="26" t="n">
        <v>18</v>
      </c>
      <c r="E183" s="26" t="n">
        <v>7</v>
      </c>
      <c r="F183" s="26" t="n">
        <f aca="false">D183-E183</f>
        <v>11</v>
      </c>
      <c r="G183" s="27" t="n">
        <f aca="false">IFERROR(F183/D183,0)</f>
        <v>0.611111111111111</v>
      </c>
      <c r="H183" s="28" t="n">
        <v>0.62</v>
      </c>
      <c r="I183" s="29" t="n">
        <v>12458</v>
      </c>
    </row>
    <row r="184" customFormat="false" ht="15" hidden="false" customHeight="false" outlineLevel="0" collapsed="false">
      <c r="A184" s="20" t="s">
        <v>64</v>
      </c>
      <c r="B184" s="20" t="s">
        <v>48</v>
      </c>
      <c r="C184" s="20" t="s">
        <v>51</v>
      </c>
      <c r="D184" s="21" t="n">
        <v>17</v>
      </c>
      <c r="E184" s="21" t="n">
        <v>7</v>
      </c>
      <c r="F184" s="21" t="n">
        <f aca="false">D184-E184</f>
        <v>10</v>
      </c>
      <c r="G184" s="22" t="n">
        <f aca="false">IFERROR(F184/D184,0)</f>
        <v>0.588235294117647</v>
      </c>
      <c r="H184" s="23" t="n">
        <v>0.71</v>
      </c>
      <c r="I184" s="24" t="n">
        <v>10469</v>
      </c>
    </row>
    <row r="185" customFormat="false" ht="15" hidden="false" customHeight="false" outlineLevel="0" collapsed="false">
      <c r="A185" s="25" t="s">
        <v>64</v>
      </c>
      <c r="B185" s="25" t="s">
        <v>48</v>
      </c>
      <c r="C185" s="25" t="s">
        <v>52</v>
      </c>
      <c r="D185" s="26" t="n">
        <v>17</v>
      </c>
      <c r="E185" s="26" t="n">
        <v>7</v>
      </c>
      <c r="F185" s="26" t="n">
        <f aca="false">D185-E185</f>
        <v>10</v>
      </c>
      <c r="G185" s="27" t="n">
        <f aca="false">IFERROR(F185/D185,0)</f>
        <v>0.588235294117647</v>
      </c>
      <c r="H185" s="28" t="n">
        <v>0.83</v>
      </c>
      <c r="I185" s="29" t="n">
        <v>16194</v>
      </c>
    </row>
    <row r="186" customFormat="false" ht="15" hidden="false" customHeight="false" outlineLevel="0" collapsed="false">
      <c r="A186" s="20" t="s">
        <v>64</v>
      </c>
      <c r="B186" s="20" t="s">
        <v>48</v>
      </c>
      <c r="C186" s="20" t="s">
        <v>53</v>
      </c>
      <c r="D186" s="21" t="n">
        <v>56</v>
      </c>
      <c r="E186" s="21" t="n">
        <v>31</v>
      </c>
      <c r="F186" s="21" t="n">
        <f aca="false">D186-E186</f>
        <v>25</v>
      </c>
      <c r="G186" s="22" t="n">
        <f aca="false">IFERROR(F186/D186,0)</f>
        <v>0.446428571428571</v>
      </c>
      <c r="H186" s="23" t="n">
        <v>0.79</v>
      </c>
      <c r="I186" s="24" t="n">
        <v>13045</v>
      </c>
    </row>
    <row r="187" customFormat="false" ht="15" hidden="false" customHeight="false" outlineLevel="0" collapsed="false">
      <c r="A187" s="25" t="s">
        <v>64</v>
      </c>
      <c r="B187" s="25" t="s">
        <v>54</v>
      </c>
      <c r="C187" s="25" t="s">
        <v>49</v>
      </c>
      <c r="D187" s="26" t="n">
        <v>29</v>
      </c>
      <c r="E187" s="26" t="n">
        <v>6</v>
      </c>
      <c r="F187" s="26" t="n">
        <f aca="false">D187-E187</f>
        <v>23</v>
      </c>
      <c r="G187" s="27" t="n">
        <f aca="false">IFERROR(F187/D187,0)</f>
        <v>0.793103448275862</v>
      </c>
      <c r="H187" s="28" t="n">
        <v>0.58</v>
      </c>
      <c r="I187" s="29" t="n">
        <v>26415</v>
      </c>
    </row>
    <row r="188" customFormat="false" ht="15" hidden="false" customHeight="false" outlineLevel="0" collapsed="false">
      <c r="A188" s="20" t="s">
        <v>64</v>
      </c>
      <c r="B188" s="20" t="s">
        <v>54</v>
      </c>
      <c r="C188" s="20" t="s">
        <v>50</v>
      </c>
      <c r="D188" s="21" t="n">
        <v>15</v>
      </c>
      <c r="E188" s="21" t="n">
        <v>4</v>
      </c>
      <c r="F188" s="21" t="n">
        <f aca="false">D188-E188</f>
        <v>11</v>
      </c>
      <c r="G188" s="22" t="n">
        <f aca="false">IFERROR(F188/D188,0)</f>
        <v>0.733333333333333</v>
      </c>
      <c r="H188" s="23" t="n">
        <v>0.5</v>
      </c>
      <c r="I188" s="24" t="n">
        <v>19653</v>
      </c>
    </row>
    <row r="189" customFormat="false" ht="15" hidden="false" customHeight="false" outlineLevel="0" collapsed="false">
      <c r="A189" s="25" t="s">
        <v>64</v>
      </c>
      <c r="B189" s="25" t="s">
        <v>54</v>
      </c>
      <c r="C189" s="25" t="s">
        <v>51</v>
      </c>
      <c r="D189" s="26" t="n">
        <v>15</v>
      </c>
      <c r="E189" s="26" t="n">
        <v>4</v>
      </c>
      <c r="F189" s="26" t="n">
        <f aca="false">D189-E189</f>
        <v>11</v>
      </c>
      <c r="G189" s="27" t="n">
        <f aca="false">IFERROR(F189/D189,0)</f>
        <v>0.733333333333333</v>
      </c>
      <c r="H189" s="28" t="n">
        <v>0.37</v>
      </c>
      <c r="I189" s="29" t="n">
        <v>17207</v>
      </c>
    </row>
    <row r="190" customFormat="false" ht="15" hidden="false" customHeight="false" outlineLevel="0" collapsed="false">
      <c r="A190" s="20" t="s">
        <v>64</v>
      </c>
      <c r="B190" s="20" t="s">
        <v>54</v>
      </c>
      <c r="C190" s="20" t="s">
        <v>52</v>
      </c>
      <c r="D190" s="21" t="n">
        <v>15</v>
      </c>
      <c r="E190" s="21" t="n">
        <v>4</v>
      </c>
      <c r="F190" s="21" t="n">
        <f aca="false">D190-E190</f>
        <v>11</v>
      </c>
      <c r="G190" s="22" t="n">
        <f aca="false">IFERROR(F190/D190,0)</f>
        <v>0.733333333333333</v>
      </c>
      <c r="H190" s="23" t="n">
        <v>0.43</v>
      </c>
      <c r="I190" s="24" t="n">
        <v>32859</v>
      </c>
    </row>
    <row r="191" customFormat="false" ht="15" hidden="false" customHeight="false" outlineLevel="0" collapsed="false">
      <c r="A191" s="25" t="s">
        <v>64</v>
      </c>
      <c r="B191" s="25" t="s">
        <v>54</v>
      </c>
      <c r="C191" s="25" t="s">
        <v>53</v>
      </c>
      <c r="D191" s="26" t="n">
        <v>15</v>
      </c>
      <c r="E191" s="26" t="n">
        <v>5</v>
      </c>
      <c r="F191" s="26" t="n">
        <f aca="false">D191-E191</f>
        <v>10</v>
      </c>
      <c r="G191" s="27" t="n">
        <f aca="false">IFERROR(F191/D191,0)</f>
        <v>0.666666666666667</v>
      </c>
      <c r="H191" s="28" t="n">
        <v>0.37</v>
      </c>
      <c r="I191" s="29" t="n">
        <v>21975</v>
      </c>
    </row>
    <row r="192" customFormat="false" ht="15" hidden="false" customHeight="false" outlineLevel="0" collapsed="false">
      <c r="A192" s="20" t="s">
        <v>64</v>
      </c>
      <c r="B192" s="20" t="s">
        <v>55</v>
      </c>
      <c r="C192" s="20" t="s">
        <v>49</v>
      </c>
      <c r="D192" s="21" t="n">
        <v>15</v>
      </c>
      <c r="E192" s="21" t="n">
        <v>4</v>
      </c>
      <c r="F192" s="21" t="n">
        <f aca="false">D192-E192</f>
        <v>11</v>
      </c>
      <c r="G192" s="22" t="n">
        <f aca="false">IFERROR(F192/D192,0)</f>
        <v>0.733333333333333</v>
      </c>
      <c r="H192" s="23" t="n">
        <v>0.71</v>
      </c>
      <c r="I192" s="24" t="n">
        <v>17137</v>
      </c>
    </row>
    <row r="193" customFormat="false" ht="15" hidden="false" customHeight="false" outlineLevel="0" collapsed="false">
      <c r="A193" s="25" t="s">
        <v>64</v>
      </c>
      <c r="B193" s="25" t="s">
        <v>55</v>
      </c>
      <c r="C193" s="25" t="s">
        <v>50</v>
      </c>
      <c r="D193" s="26" t="n">
        <v>17</v>
      </c>
      <c r="E193" s="26" t="n">
        <v>8</v>
      </c>
      <c r="F193" s="26" t="n">
        <f aca="false">D193-E193</f>
        <v>9</v>
      </c>
      <c r="G193" s="27" t="n">
        <f aca="false">IFERROR(F193/D193,0)</f>
        <v>0.529411764705882</v>
      </c>
      <c r="H193" s="28" t="n">
        <v>0.63</v>
      </c>
      <c r="I193" s="29" t="n">
        <v>11795</v>
      </c>
    </row>
    <row r="194" customFormat="false" ht="15" hidden="false" customHeight="false" outlineLevel="0" collapsed="false">
      <c r="A194" s="20" t="s">
        <v>64</v>
      </c>
      <c r="B194" s="20" t="s">
        <v>55</v>
      </c>
      <c r="C194" s="20" t="s">
        <v>51</v>
      </c>
      <c r="D194" s="21" t="n">
        <v>16</v>
      </c>
      <c r="E194" s="21" t="n">
        <v>7</v>
      </c>
      <c r="F194" s="21" t="n">
        <f aca="false">D194-E194</f>
        <v>9</v>
      </c>
      <c r="G194" s="22" t="n">
        <f aca="false">IFERROR(F194/D194,0)</f>
        <v>0.5625</v>
      </c>
      <c r="H194" s="23" t="n">
        <v>0.61</v>
      </c>
      <c r="I194" s="24" t="n">
        <v>9989</v>
      </c>
    </row>
    <row r="195" customFormat="false" ht="15" hidden="false" customHeight="false" outlineLevel="0" collapsed="false">
      <c r="A195" s="25" t="s">
        <v>64</v>
      </c>
      <c r="B195" s="25" t="s">
        <v>55</v>
      </c>
      <c r="C195" s="25" t="s">
        <v>52</v>
      </c>
      <c r="D195" s="26" t="n">
        <v>15</v>
      </c>
      <c r="E195" s="26" t="n">
        <v>4</v>
      </c>
      <c r="F195" s="26" t="n">
        <f aca="false">D195-E195</f>
        <v>11</v>
      </c>
      <c r="G195" s="27" t="n">
        <f aca="false">IFERROR(F195/D195,0)</f>
        <v>0.733333333333333</v>
      </c>
      <c r="H195" s="28" t="n">
        <v>0.74</v>
      </c>
      <c r="I195" s="29" t="n">
        <v>17275</v>
      </c>
    </row>
    <row r="196" customFormat="false" ht="15" hidden="false" customHeight="false" outlineLevel="0" collapsed="false">
      <c r="A196" s="20" t="s">
        <v>64</v>
      </c>
      <c r="B196" s="20" t="s">
        <v>55</v>
      </c>
      <c r="C196" s="20" t="s">
        <v>53</v>
      </c>
      <c r="D196" s="21" t="n">
        <v>26</v>
      </c>
      <c r="E196" s="21" t="n">
        <v>10</v>
      </c>
      <c r="F196" s="21" t="n">
        <f aca="false">D196-E196</f>
        <v>16</v>
      </c>
      <c r="G196" s="22" t="n">
        <f aca="false">IFERROR(F196/D196,0)</f>
        <v>0.615384615384615</v>
      </c>
      <c r="H196" s="23" t="n">
        <v>0.6</v>
      </c>
      <c r="I196" s="24" t="n">
        <v>12331</v>
      </c>
    </row>
    <row r="197" customFormat="false" ht="15" hidden="false" customHeight="false" outlineLevel="0" collapsed="false">
      <c r="A197" s="25" t="s">
        <v>64</v>
      </c>
      <c r="B197" s="25" t="s">
        <v>56</v>
      </c>
      <c r="C197" s="25" t="s">
        <v>49</v>
      </c>
      <c r="D197" s="26" t="n">
        <v>15</v>
      </c>
      <c r="E197" s="26" t="n">
        <v>4</v>
      </c>
      <c r="F197" s="26" t="n">
        <f aca="false">D197-E197</f>
        <v>11</v>
      </c>
      <c r="G197" s="27" t="n">
        <f aca="false">IFERROR(F197/D197,0)</f>
        <v>0.733333333333333</v>
      </c>
      <c r="H197" s="28" t="n">
        <v>0.77</v>
      </c>
      <c r="I197" s="29" t="n">
        <v>18404</v>
      </c>
    </row>
    <row r="198" customFormat="false" ht="15" hidden="false" customHeight="false" outlineLevel="0" collapsed="false">
      <c r="A198" s="20" t="s">
        <v>64</v>
      </c>
      <c r="B198" s="20" t="s">
        <v>56</v>
      </c>
      <c r="C198" s="20" t="s">
        <v>50</v>
      </c>
      <c r="D198" s="21" t="n">
        <v>16</v>
      </c>
      <c r="E198" s="21" t="n">
        <v>8</v>
      </c>
      <c r="F198" s="21" t="n">
        <f aca="false">D198-E198</f>
        <v>8</v>
      </c>
      <c r="G198" s="22" t="n">
        <f aca="false">IFERROR(F198/D198,0)</f>
        <v>0.5</v>
      </c>
      <c r="H198" s="23" t="n">
        <v>0.67</v>
      </c>
      <c r="I198" s="24" t="n">
        <v>12629</v>
      </c>
    </row>
    <row r="199" customFormat="false" ht="15" hidden="false" customHeight="false" outlineLevel="0" collapsed="false">
      <c r="A199" s="25" t="s">
        <v>64</v>
      </c>
      <c r="B199" s="25" t="s">
        <v>56</v>
      </c>
      <c r="C199" s="25" t="s">
        <v>51</v>
      </c>
      <c r="D199" s="26" t="n">
        <v>16</v>
      </c>
      <c r="E199" s="26" t="n">
        <v>8</v>
      </c>
      <c r="F199" s="26" t="n">
        <f aca="false">D199-E199</f>
        <v>8</v>
      </c>
      <c r="G199" s="27" t="n">
        <f aca="false">IFERROR(F199/D199,0)</f>
        <v>0.5</v>
      </c>
      <c r="H199" s="28" t="n">
        <v>0.57</v>
      </c>
      <c r="I199" s="29" t="n">
        <v>12069</v>
      </c>
    </row>
    <row r="200" customFormat="false" ht="15" hidden="false" customHeight="false" outlineLevel="0" collapsed="false">
      <c r="A200" s="20" t="s">
        <v>64</v>
      </c>
      <c r="B200" s="20" t="s">
        <v>56</v>
      </c>
      <c r="C200" s="20" t="s">
        <v>52</v>
      </c>
      <c r="D200" s="21" t="n">
        <v>16</v>
      </c>
      <c r="E200" s="21" t="n">
        <v>8</v>
      </c>
      <c r="F200" s="21" t="n">
        <f aca="false">D200-E200</f>
        <v>8</v>
      </c>
      <c r="G200" s="22" t="n">
        <f aca="false">IFERROR(F200/D200,0)</f>
        <v>0.5</v>
      </c>
      <c r="H200" s="23" t="n">
        <v>0.65</v>
      </c>
      <c r="I200" s="24" t="n">
        <v>18446</v>
      </c>
    </row>
    <row r="201" customFormat="false" ht="15" hidden="false" customHeight="false" outlineLevel="0" collapsed="false">
      <c r="A201" s="25" t="s">
        <v>64</v>
      </c>
      <c r="B201" s="25" t="s">
        <v>56</v>
      </c>
      <c r="C201" s="25" t="s">
        <v>53</v>
      </c>
      <c r="D201" s="26" t="n">
        <v>48</v>
      </c>
      <c r="E201" s="26" t="n">
        <v>28</v>
      </c>
      <c r="F201" s="26" t="n">
        <f aca="false">D201-E201</f>
        <v>20</v>
      </c>
      <c r="G201" s="27" t="n">
        <f aca="false">IFERROR(F201/D201,0)</f>
        <v>0.416666666666667</v>
      </c>
      <c r="H201" s="28" t="n">
        <v>0.76</v>
      </c>
      <c r="I201" s="29" t="n">
        <v>15173</v>
      </c>
    </row>
    <row r="202" customFormat="false" ht="15" hidden="false" customHeight="false" outlineLevel="0" collapsed="false">
      <c r="A202" s="20" t="s">
        <v>64</v>
      </c>
      <c r="B202" s="20" t="s">
        <v>57</v>
      </c>
      <c r="C202" s="20" t="s">
        <v>49</v>
      </c>
      <c r="D202" s="21" t="n">
        <v>15</v>
      </c>
      <c r="E202" s="21" t="n">
        <v>3</v>
      </c>
      <c r="F202" s="21" t="n">
        <f aca="false">D202-E202</f>
        <v>12</v>
      </c>
      <c r="G202" s="22" t="n">
        <f aca="false">IFERROR(F202/D202,0)</f>
        <v>0.8</v>
      </c>
      <c r="H202" s="23" t="n">
        <v>0.6</v>
      </c>
      <c r="I202" s="24" t="n">
        <v>21340</v>
      </c>
    </row>
    <row r="203" customFormat="false" ht="15" hidden="false" customHeight="false" outlineLevel="0" collapsed="false">
      <c r="A203" s="25" t="s">
        <v>64</v>
      </c>
      <c r="B203" s="25" t="s">
        <v>57</v>
      </c>
      <c r="C203" s="25" t="s">
        <v>50</v>
      </c>
      <c r="D203" s="26" t="n">
        <v>17</v>
      </c>
      <c r="E203" s="26" t="n">
        <v>3</v>
      </c>
      <c r="F203" s="26" t="n">
        <f aca="false">D203-E203</f>
        <v>14</v>
      </c>
      <c r="G203" s="27" t="n">
        <f aca="false">IFERROR(F203/D203,0)</f>
        <v>0.823529411764706</v>
      </c>
      <c r="H203" s="28" t="n">
        <v>0.6</v>
      </c>
      <c r="I203" s="29" t="n">
        <v>17468</v>
      </c>
    </row>
    <row r="204" customFormat="false" ht="15" hidden="false" customHeight="false" outlineLevel="0" collapsed="false">
      <c r="A204" s="20" t="s">
        <v>64</v>
      </c>
      <c r="B204" s="20" t="s">
        <v>57</v>
      </c>
      <c r="C204" s="20" t="s">
        <v>51</v>
      </c>
      <c r="D204" s="21" t="n">
        <v>15</v>
      </c>
      <c r="E204" s="21" t="n">
        <v>3</v>
      </c>
      <c r="F204" s="21" t="n">
        <f aca="false">D204-E204</f>
        <v>12</v>
      </c>
      <c r="G204" s="22" t="n">
        <f aca="false">IFERROR(F204/D204,0)</f>
        <v>0.8</v>
      </c>
      <c r="H204" s="23" t="n">
        <v>0.59</v>
      </c>
      <c r="I204" s="24" t="n">
        <v>14083</v>
      </c>
    </row>
    <row r="205" customFormat="false" ht="15" hidden="false" customHeight="false" outlineLevel="0" collapsed="false">
      <c r="A205" s="25" t="s">
        <v>64</v>
      </c>
      <c r="B205" s="25" t="s">
        <v>57</v>
      </c>
      <c r="C205" s="25" t="s">
        <v>52</v>
      </c>
      <c r="D205" s="26" t="n">
        <v>15</v>
      </c>
      <c r="E205" s="26" t="n">
        <v>3</v>
      </c>
      <c r="F205" s="26" t="n">
        <f aca="false">D205-E205</f>
        <v>12</v>
      </c>
      <c r="G205" s="27" t="n">
        <f aca="false">IFERROR(F205/D205,0)</f>
        <v>0.8</v>
      </c>
      <c r="H205" s="28" t="n">
        <v>0.53</v>
      </c>
      <c r="I205" s="29" t="n">
        <v>22428</v>
      </c>
    </row>
    <row r="206" customFormat="false" ht="15" hidden="false" customHeight="false" outlineLevel="0" collapsed="false">
      <c r="A206" s="20" t="s">
        <v>64</v>
      </c>
      <c r="B206" s="20" t="s">
        <v>57</v>
      </c>
      <c r="C206" s="20" t="s">
        <v>53</v>
      </c>
      <c r="D206" s="21" t="n">
        <v>32</v>
      </c>
      <c r="E206" s="21" t="n">
        <v>6</v>
      </c>
      <c r="F206" s="21" t="n">
        <f aca="false">D206-E206</f>
        <v>26</v>
      </c>
      <c r="G206" s="22" t="n">
        <f aca="false">IFERROR(F206/D206,0)</f>
        <v>0.8125</v>
      </c>
      <c r="H206" s="23" t="n">
        <v>0.43</v>
      </c>
      <c r="I206" s="24" t="n">
        <v>16633</v>
      </c>
    </row>
    <row r="207" customFormat="false" ht="15" hidden="false" customHeight="false" outlineLevel="0" collapsed="false">
      <c r="A207" s="25" t="s">
        <v>64</v>
      </c>
      <c r="B207" s="25" t="s">
        <v>58</v>
      </c>
      <c r="C207" s="25" t="s">
        <v>49</v>
      </c>
      <c r="D207" s="26" t="n">
        <v>31</v>
      </c>
      <c r="E207" s="26" t="n">
        <v>9</v>
      </c>
      <c r="F207" s="26" t="n">
        <f aca="false">D207-E207</f>
        <v>22</v>
      </c>
      <c r="G207" s="27" t="n">
        <f aca="false">IFERROR(F207/D207,0)</f>
        <v>0.709677419354839</v>
      </c>
      <c r="H207" s="28" t="n">
        <v>0.64</v>
      </c>
      <c r="I207" s="29" t="n">
        <v>15313</v>
      </c>
    </row>
    <row r="208" customFormat="false" ht="15" hidden="false" customHeight="false" outlineLevel="0" collapsed="false">
      <c r="A208" s="20" t="s">
        <v>64</v>
      </c>
      <c r="B208" s="20" t="s">
        <v>58</v>
      </c>
      <c r="C208" s="20" t="s">
        <v>50</v>
      </c>
      <c r="D208" s="21" t="n">
        <v>20</v>
      </c>
      <c r="E208" s="21" t="n">
        <v>7</v>
      </c>
      <c r="F208" s="21" t="n">
        <f aca="false">D208-E208</f>
        <v>13</v>
      </c>
      <c r="G208" s="22" t="n">
        <f aca="false">IFERROR(F208/D208,0)</f>
        <v>0.65</v>
      </c>
      <c r="H208" s="23" t="n">
        <v>0.77</v>
      </c>
      <c r="I208" s="24" t="n">
        <v>11581</v>
      </c>
    </row>
    <row r="209" customFormat="false" ht="15" hidden="false" customHeight="false" outlineLevel="0" collapsed="false">
      <c r="A209" s="25" t="s">
        <v>64</v>
      </c>
      <c r="B209" s="25" t="s">
        <v>58</v>
      </c>
      <c r="C209" s="25" t="s">
        <v>51</v>
      </c>
      <c r="D209" s="26" t="n">
        <v>72</v>
      </c>
      <c r="E209" s="26" t="n">
        <v>34</v>
      </c>
      <c r="F209" s="26" t="n">
        <f aca="false">D209-E209</f>
        <v>38</v>
      </c>
      <c r="G209" s="27" t="n">
        <f aca="false">IFERROR(F209/D209,0)</f>
        <v>0.527777777777778</v>
      </c>
      <c r="H209" s="28" t="n">
        <v>0.7</v>
      </c>
      <c r="I209" s="29" t="n">
        <v>10481</v>
      </c>
    </row>
    <row r="210" customFormat="false" ht="15" hidden="false" customHeight="false" outlineLevel="0" collapsed="false">
      <c r="A210" s="20" t="s">
        <v>64</v>
      </c>
      <c r="B210" s="20" t="s">
        <v>58</v>
      </c>
      <c r="C210" s="20" t="s">
        <v>52</v>
      </c>
      <c r="D210" s="21" t="n">
        <v>26</v>
      </c>
      <c r="E210" s="21" t="n">
        <v>11</v>
      </c>
      <c r="F210" s="21" t="n">
        <f aca="false">D210-E210</f>
        <v>15</v>
      </c>
      <c r="G210" s="22" t="n">
        <f aca="false">IFERROR(F210/D210,0)</f>
        <v>0.576923076923077</v>
      </c>
      <c r="H210" s="23" t="n">
        <v>0.71</v>
      </c>
      <c r="I210" s="24" t="n">
        <v>17877</v>
      </c>
    </row>
    <row r="211" customFormat="false" ht="15" hidden="false" customHeight="false" outlineLevel="0" collapsed="false">
      <c r="A211" s="25" t="s">
        <v>64</v>
      </c>
      <c r="B211" s="25" t="s">
        <v>58</v>
      </c>
      <c r="C211" s="25" t="s">
        <v>53</v>
      </c>
      <c r="D211" s="26" t="n">
        <v>36</v>
      </c>
      <c r="E211" s="26" t="n">
        <v>16</v>
      </c>
      <c r="F211" s="26" t="n">
        <f aca="false">D211-E211</f>
        <v>20</v>
      </c>
      <c r="G211" s="27" t="n">
        <f aca="false">IFERROR(F211/D211,0)</f>
        <v>0.555555555555556</v>
      </c>
      <c r="H211" s="28" t="n">
        <v>0.77</v>
      </c>
      <c r="I211" s="29" t="n">
        <v>12544</v>
      </c>
    </row>
    <row r="212" customFormat="false" ht="15" hidden="false" customHeight="false" outlineLevel="0" collapsed="false">
      <c r="A212" s="20" t="s">
        <v>65</v>
      </c>
      <c r="B212" s="20" t="s">
        <v>48</v>
      </c>
      <c r="C212" s="20" t="s">
        <v>49</v>
      </c>
      <c r="D212" s="21" t="n">
        <v>113</v>
      </c>
      <c r="E212" s="21" t="n">
        <v>33</v>
      </c>
      <c r="F212" s="21" t="n">
        <f aca="false">D212-E212</f>
        <v>80</v>
      </c>
      <c r="G212" s="22" t="n">
        <f aca="false">IFERROR(F212/D212,0)</f>
        <v>0.707964601769912</v>
      </c>
      <c r="H212" s="23" t="n">
        <v>0.74</v>
      </c>
      <c r="I212" s="24" t="n">
        <v>16600</v>
      </c>
    </row>
    <row r="213" customFormat="false" ht="15" hidden="false" customHeight="false" outlineLevel="0" collapsed="false">
      <c r="A213" s="25" t="s">
        <v>65</v>
      </c>
      <c r="B213" s="25" t="s">
        <v>48</v>
      </c>
      <c r="C213" s="25" t="s">
        <v>50</v>
      </c>
      <c r="D213" s="26" t="n">
        <v>185</v>
      </c>
      <c r="E213" s="26" t="n">
        <v>103</v>
      </c>
      <c r="F213" s="26" t="n">
        <f aca="false">D213-E213</f>
        <v>82</v>
      </c>
      <c r="G213" s="27" t="n">
        <f aca="false">IFERROR(F213/D213,0)</f>
        <v>0.443243243243243</v>
      </c>
      <c r="H213" s="28" t="n">
        <v>0.68</v>
      </c>
      <c r="I213" s="29" t="n">
        <v>12611</v>
      </c>
    </row>
    <row r="214" customFormat="false" ht="15" hidden="false" customHeight="false" outlineLevel="0" collapsed="false">
      <c r="A214" s="20" t="s">
        <v>65</v>
      </c>
      <c r="B214" s="20" t="s">
        <v>48</v>
      </c>
      <c r="C214" s="20" t="s">
        <v>51</v>
      </c>
      <c r="D214" s="21" t="n">
        <v>183</v>
      </c>
      <c r="E214" s="21" t="n">
        <v>93</v>
      </c>
      <c r="F214" s="21" t="n">
        <f aca="false">D214-E214</f>
        <v>90</v>
      </c>
      <c r="G214" s="22" t="n">
        <f aca="false">IFERROR(F214/D214,0)</f>
        <v>0.491803278688525</v>
      </c>
      <c r="H214" s="23" t="n">
        <v>0.65</v>
      </c>
      <c r="I214" s="24" t="n">
        <v>10156</v>
      </c>
    </row>
    <row r="215" customFormat="false" ht="15" hidden="false" customHeight="false" outlineLevel="0" collapsed="false">
      <c r="A215" s="25" t="s">
        <v>65</v>
      </c>
      <c r="B215" s="25" t="s">
        <v>48</v>
      </c>
      <c r="C215" s="25" t="s">
        <v>52</v>
      </c>
      <c r="D215" s="26" t="n">
        <v>196</v>
      </c>
      <c r="E215" s="26" t="n">
        <v>117</v>
      </c>
      <c r="F215" s="26" t="n">
        <f aca="false">D215-E215</f>
        <v>79</v>
      </c>
      <c r="G215" s="27" t="n">
        <f aca="false">IFERROR(F215/D215,0)</f>
        <v>0.403061224489796</v>
      </c>
      <c r="H215" s="28" t="n">
        <v>0.64</v>
      </c>
      <c r="I215" s="29" t="n">
        <v>16244</v>
      </c>
    </row>
    <row r="216" customFormat="false" ht="15" hidden="false" customHeight="false" outlineLevel="0" collapsed="false">
      <c r="A216" s="20" t="s">
        <v>65</v>
      </c>
      <c r="B216" s="20" t="s">
        <v>48</v>
      </c>
      <c r="C216" s="20" t="s">
        <v>53</v>
      </c>
      <c r="D216" s="21" t="n">
        <v>589</v>
      </c>
      <c r="E216" s="21" t="n">
        <v>326</v>
      </c>
      <c r="F216" s="21" t="n">
        <f aca="false">D216-E216</f>
        <v>263</v>
      </c>
      <c r="G216" s="22" t="n">
        <f aca="false">IFERROR(F216/D216,0)</f>
        <v>0.446519524617997</v>
      </c>
      <c r="H216" s="23" t="n">
        <v>0.68</v>
      </c>
      <c r="I216" s="24" t="n">
        <v>12696</v>
      </c>
    </row>
    <row r="217" customFormat="false" ht="15" hidden="false" customHeight="false" outlineLevel="0" collapsed="false">
      <c r="A217" s="25" t="s">
        <v>65</v>
      </c>
      <c r="B217" s="25" t="s">
        <v>54</v>
      </c>
      <c r="C217" s="25" t="s">
        <v>49</v>
      </c>
      <c r="D217" s="26" t="n">
        <v>339</v>
      </c>
      <c r="E217" s="26" t="n">
        <v>70</v>
      </c>
      <c r="F217" s="26" t="n">
        <f aca="false">D217-E217</f>
        <v>269</v>
      </c>
      <c r="G217" s="27" t="n">
        <f aca="false">IFERROR(F217/D217,0)</f>
        <v>0.793510324483776</v>
      </c>
      <c r="H217" s="28" t="n">
        <v>0.37</v>
      </c>
      <c r="I217" s="29" t="n">
        <v>29094</v>
      </c>
    </row>
    <row r="218" customFormat="false" ht="15" hidden="false" customHeight="false" outlineLevel="0" collapsed="false">
      <c r="A218" s="20" t="s">
        <v>65</v>
      </c>
      <c r="B218" s="20" t="s">
        <v>54</v>
      </c>
      <c r="C218" s="20" t="s">
        <v>50</v>
      </c>
      <c r="D218" s="21" t="n">
        <v>70</v>
      </c>
      <c r="E218" s="21" t="n">
        <v>15</v>
      </c>
      <c r="F218" s="21" t="n">
        <f aca="false">D218-E218</f>
        <v>55</v>
      </c>
      <c r="G218" s="22" t="n">
        <f aca="false">IFERROR(F218/D218,0)</f>
        <v>0.785714285714286</v>
      </c>
      <c r="H218" s="23" t="n">
        <v>0.46</v>
      </c>
      <c r="I218" s="24" t="n">
        <v>22479</v>
      </c>
    </row>
    <row r="219" customFormat="false" ht="15" hidden="false" customHeight="false" outlineLevel="0" collapsed="false">
      <c r="A219" s="25" t="s">
        <v>65</v>
      </c>
      <c r="B219" s="25" t="s">
        <v>54</v>
      </c>
      <c r="C219" s="25" t="s">
        <v>51</v>
      </c>
      <c r="D219" s="26" t="n">
        <v>105</v>
      </c>
      <c r="E219" s="26" t="n">
        <v>27</v>
      </c>
      <c r="F219" s="26" t="n">
        <f aca="false">D219-E219</f>
        <v>78</v>
      </c>
      <c r="G219" s="27" t="n">
        <f aca="false">IFERROR(F219/D219,0)</f>
        <v>0.742857142857143</v>
      </c>
      <c r="H219" s="28" t="n">
        <v>0.56</v>
      </c>
      <c r="I219" s="29" t="n">
        <v>18477</v>
      </c>
    </row>
    <row r="220" customFormat="false" ht="15" hidden="false" customHeight="false" outlineLevel="0" collapsed="false">
      <c r="A220" s="20" t="s">
        <v>65</v>
      </c>
      <c r="B220" s="20" t="s">
        <v>54</v>
      </c>
      <c r="C220" s="20" t="s">
        <v>52</v>
      </c>
      <c r="D220" s="21" t="n">
        <v>70</v>
      </c>
      <c r="E220" s="21" t="n">
        <v>18</v>
      </c>
      <c r="F220" s="21" t="n">
        <f aca="false">D220-E220</f>
        <v>52</v>
      </c>
      <c r="G220" s="22" t="n">
        <f aca="false">IFERROR(F220/D220,0)</f>
        <v>0.742857142857143</v>
      </c>
      <c r="H220" s="23" t="n">
        <v>0.45</v>
      </c>
      <c r="I220" s="24" t="n">
        <v>29974</v>
      </c>
    </row>
    <row r="221" customFormat="false" ht="15" hidden="false" customHeight="false" outlineLevel="0" collapsed="false">
      <c r="A221" s="25" t="s">
        <v>65</v>
      </c>
      <c r="B221" s="25" t="s">
        <v>54</v>
      </c>
      <c r="C221" s="25" t="s">
        <v>53</v>
      </c>
      <c r="D221" s="26" t="n">
        <v>133</v>
      </c>
      <c r="E221" s="26" t="n">
        <v>51</v>
      </c>
      <c r="F221" s="26" t="n">
        <f aca="false">D221-E221</f>
        <v>82</v>
      </c>
      <c r="G221" s="27" t="n">
        <f aca="false">IFERROR(F221/D221,0)</f>
        <v>0.616541353383459</v>
      </c>
      <c r="H221" s="28" t="n">
        <v>0.48</v>
      </c>
      <c r="I221" s="29" t="n">
        <v>22824</v>
      </c>
    </row>
    <row r="222" customFormat="false" ht="15" hidden="false" customHeight="false" outlineLevel="0" collapsed="false">
      <c r="A222" s="20" t="s">
        <v>65</v>
      </c>
      <c r="B222" s="20" t="s">
        <v>55</v>
      </c>
      <c r="C222" s="20" t="s">
        <v>49</v>
      </c>
      <c r="D222" s="21" t="n">
        <v>150</v>
      </c>
      <c r="E222" s="21" t="n">
        <v>32</v>
      </c>
      <c r="F222" s="21" t="n">
        <f aca="false">D222-E222</f>
        <v>118</v>
      </c>
      <c r="G222" s="22" t="n">
        <f aca="false">IFERROR(F222/D222,0)</f>
        <v>0.786666666666667</v>
      </c>
      <c r="H222" s="23" t="n">
        <v>0.63</v>
      </c>
      <c r="I222" s="24" t="n">
        <v>18038</v>
      </c>
    </row>
    <row r="223" customFormat="false" ht="15" hidden="false" customHeight="false" outlineLevel="0" collapsed="false">
      <c r="A223" s="25" t="s">
        <v>65</v>
      </c>
      <c r="B223" s="25" t="s">
        <v>55</v>
      </c>
      <c r="C223" s="25" t="s">
        <v>50</v>
      </c>
      <c r="D223" s="26" t="n">
        <v>180</v>
      </c>
      <c r="E223" s="26" t="n">
        <v>90</v>
      </c>
      <c r="F223" s="26" t="n">
        <f aca="false">D223-E223</f>
        <v>90</v>
      </c>
      <c r="G223" s="27" t="n">
        <f aca="false">IFERROR(F223/D223,0)</f>
        <v>0.5</v>
      </c>
      <c r="H223" s="28" t="n">
        <v>0.67</v>
      </c>
      <c r="I223" s="29" t="n">
        <v>12110</v>
      </c>
    </row>
    <row r="224" customFormat="false" ht="15" hidden="false" customHeight="false" outlineLevel="0" collapsed="false">
      <c r="A224" s="20" t="s">
        <v>65</v>
      </c>
      <c r="B224" s="20" t="s">
        <v>55</v>
      </c>
      <c r="C224" s="20" t="s">
        <v>51</v>
      </c>
      <c r="D224" s="21" t="n">
        <v>197</v>
      </c>
      <c r="E224" s="21" t="n">
        <v>101</v>
      </c>
      <c r="F224" s="21" t="n">
        <f aca="false">D224-E224</f>
        <v>96</v>
      </c>
      <c r="G224" s="22" t="n">
        <f aca="false">IFERROR(F224/D224,0)</f>
        <v>0.487309644670051</v>
      </c>
      <c r="H224" s="23" t="n">
        <v>0.75</v>
      </c>
      <c r="I224" s="24" t="n">
        <v>10228</v>
      </c>
    </row>
    <row r="225" customFormat="false" ht="15" hidden="false" customHeight="false" outlineLevel="0" collapsed="false">
      <c r="A225" s="25" t="s">
        <v>65</v>
      </c>
      <c r="B225" s="25" t="s">
        <v>55</v>
      </c>
      <c r="C225" s="25" t="s">
        <v>52</v>
      </c>
      <c r="D225" s="26" t="n">
        <v>147</v>
      </c>
      <c r="E225" s="26" t="n">
        <v>48</v>
      </c>
      <c r="F225" s="26" t="n">
        <f aca="false">D225-E225</f>
        <v>99</v>
      </c>
      <c r="G225" s="27" t="n">
        <f aca="false">IFERROR(F225/D225,0)</f>
        <v>0.673469387755102</v>
      </c>
      <c r="H225" s="28" t="n">
        <v>0.77</v>
      </c>
      <c r="I225" s="29" t="n">
        <v>19164</v>
      </c>
    </row>
    <row r="226" customFormat="false" ht="15" hidden="false" customHeight="false" outlineLevel="0" collapsed="false">
      <c r="A226" s="20" t="s">
        <v>65</v>
      </c>
      <c r="B226" s="20" t="s">
        <v>55</v>
      </c>
      <c r="C226" s="20" t="s">
        <v>53</v>
      </c>
      <c r="D226" s="21" t="n">
        <v>302</v>
      </c>
      <c r="E226" s="21" t="n">
        <v>155</v>
      </c>
      <c r="F226" s="21" t="n">
        <f aca="false">D226-E226</f>
        <v>147</v>
      </c>
      <c r="G226" s="22" t="n">
        <f aca="false">IFERROR(F226/D226,0)</f>
        <v>0.486754966887417</v>
      </c>
      <c r="H226" s="23" t="n">
        <v>0.79</v>
      </c>
      <c r="I226" s="24" t="n">
        <v>13777</v>
      </c>
    </row>
    <row r="227" customFormat="false" ht="15" hidden="false" customHeight="false" outlineLevel="0" collapsed="false">
      <c r="A227" s="25" t="s">
        <v>65</v>
      </c>
      <c r="B227" s="25" t="s">
        <v>56</v>
      </c>
      <c r="C227" s="25" t="s">
        <v>49</v>
      </c>
      <c r="D227" s="26" t="n">
        <v>110</v>
      </c>
      <c r="E227" s="26" t="n">
        <v>40</v>
      </c>
      <c r="F227" s="26" t="n">
        <f aca="false">D227-E227</f>
        <v>70</v>
      </c>
      <c r="G227" s="27" t="n">
        <f aca="false">IFERROR(F227/D227,0)</f>
        <v>0.636363636363636</v>
      </c>
      <c r="H227" s="28" t="n">
        <v>0.71</v>
      </c>
      <c r="I227" s="29" t="n">
        <v>17536</v>
      </c>
    </row>
    <row r="228" customFormat="false" ht="15" hidden="false" customHeight="false" outlineLevel="0" collapsed="false">
      <c r="A228" s="20" t="s">
        <v>65</v>
      </c>
      <c r="B228" s="20" t="s">
        <v>56</v>
      </c>
      <c r="C228" s="20" t="s">
        <v>50</v>
      </c>
      <c r="D228" s="21" t="n">
        <v>166</v>
      </c>
      <c r="E228" s="21" t="n">
        <v>85</v>
      </c>
      <c r="F228" s="21" t="n">
        <f aca="false">D228-E228</f>
        <v>81</v>
      </c>
      <c r="G228" s="22" t="n">
        <f aca="false">IFERROR(F228/D228,0)</f>
        <v>0.487951807228916</v>
      </c>
      <c r="H228" s="23" t="n">
        <v>0.74</v>
      </c>
      <c r="I228" s="24" t="n">
        <v>13611</v>
      </c>
    </row>
    <row r="229" customFormat="false" ht="15" hidden="false" customHeight="false" outlineLevel="0" collapsed="false">
      <c r="A229" s="25" t="s">
        <v>65</v>
      </c>
      <c r="B229" s="25" t="s">
        <v>56</v>
      </c>
      <c r="C229" s="25" t="s">
        <v>51</v>
      </c>
      <c r="D229" s="26" t="n">
        <v>162</v>
      </c>
      <c r="E229" s="26" t="n">
        <v>109</v>
      </c>
      <c r="F229" s="26" t="n">
        <f aca="false">D229-E229</f>
        <v>53</v>
      </c>
      <c r="G229" s="27" t="n">
        <f aca="false">IFERROR(F229/D229,0)</f>
        <v>0.327160493827161</v>
      </c>
      <c r="H229" s="28" t="n">
        <v>0.76</v>
      </c>
      <c r="I229" s="29" t="n">
        <v>10726</v>
      </c>
    </row>
    <row r="230" customFormat="false" ht="15" hidden="false" customHeight="false" outlineLevel="0" collapsed="false">
      <c r="A230" s="20" t="s">
        <v>65</v>
      </c>
      <c r="B230" s="20" t="s">
        <v>56</v>
      </c>
      <c r="C230" s="20" t="s">
        <v>52</v>
      </c>
      <c r="D230" s="21" t="n">
        <v>160</v>
      </c>
      <c r="E230" s="21" t="n">
        <v>83</v>
      </c>
      <c r="F230" s="21" t="n">
        <f aca="false">D230-E230</f>
        <v>77</v>
      </c>
      <c r="G230" s="22" t="n">
        <f aca="false">IFERROR(F230/D230,0)</f>
        <v>0.48125</v>
      </c>
      <c r="H230" s="23" t="n">
        <v>0.55</v>
      </c>
      <c r="I230" s="24" t="n">
        <v>20424</v>
      </c>
    </row>
    <row r="231" customFormat="false" ht="15" hidden="false" customHeight="false" outlineLevel="0" collapsed="false">
      <c r="A231" s="25" t="s">
        <v>65</v>
      </c>
      <c r="B231" s="25" t="s">
        <v>56</v>
      </c>
      <c r="C231" s="25" t="s">
        <v>53</v>
      </c>
      <c r="D231" s="26" t="n">
        <v>458</v>
      </c>
      <c r="E231" s="26" t="n">
        <v>218</v>
      </c>
      <c r="F231" s="26" t="n">
        <f aca="false">D231-E231</f>
        <v>240</v>
      </c>
      <c r="G231" s="27" t="n">
        <f aca="false">IFERROR(F231/D231,0)</f>
        <v>0.524017467248908</v>
      </c>
      <c r="H231" s="28" t="n">
        <v>0.69</v>
      </c>
      <c r="I231" s="29" t="n">
        <v>13658</v>
      </c>
    </row>
    <row r="232" customFormat="false" ht="15" hidden="false" customHeight="false" outlineLevel="0" collapsed="false">
      <c r="A232" s="20" t="s">
        <v>65</v>
      </c>
      <c r="B232" s="20" t="s">
        <v>57</v>
      </c>
      <c r="C232" s="20" t="s">
        <v>49</v>
      </c>
      <c r="D232" s="21" t="n">
        <v>90</v>
      </c>
      <c r="E232" s="21" t="n">
        <v>8</v>
      </c>
      <c r="F232" s="21" t="n">
        <f aca="false">D232-E232</f>
        <v>82</v>
      </c>
      <c r="G232" s="22" t="n">
        <f aca="false">IFERROR(F232/D232,0)</f>
        <v>0.911111111111111</v>
      </c>
      <c r="H232" s="23" t="n">
        <v>0.65</v>
      </c>
      <c r="I232" s="24" t="n">
        <v>22404</v>
      </c>
    </row>
    <row r="233" customFormat="false" ht="15" hidden="false" customHeight="false" outlineLevel="0" collapsed="false">
      <c r="A233" s="25" t="s">
        <v>65</v>
      </c>
      <c r="B233" s="25" t="s">
        <v>57</v>
      </c>
      <c r="C233" s="25" t="s">
        <v>50</v>
      </c>
      <c r="D233" s="26" t="n">
        <v>114</v>
      </c>
      <c r="E233" s="26" t="n">
        <v>20</v>
      </c>
      <c r="F233" s="26" t="n">
        <f aca="false">D233-E233</f>
        <v>94</v>
      </c>
      <c r="G233" s="27" t="n">
        <f aca="false">IFERROR(F233/D233,0)</f>
        <v>0.824561403508772</v>
      </c>
      <c r="H233" s="28" t="n">
        <v>0.54</v>
      </c>
      <c r="I233" s="29" t="n">
        <v>15852</v>
      </c>
    </row>
    <row r="234" customFormat="false" ht="15" hidden="false" customHeight="false" outlineLevel="0" collapsed="false">
      <c r="A234" s="20" t="s">
        <v>65</v>
      </c>
      <c r="B234" s="20" t="s">
        <v>57</v>
      </c>
      <c r="C234" s="20" t="s">
        <v>51</v>
      </c>
      <c r="D234" s="21" t="n">
        <v>60</v>
      </c>
      <c r="E234" s="21" t="n">
        <v>8</v>
      </c>
      <c r="F234" s="21" t="n">
        <f aca="false">D234-E234</f>
        <v>52</v>
      </c>
      <c r="G234" s="22" t="n">
        <f aca="false">IFERROR(F234/D234,0)</f>
        <v>0.866666666666667</v>
      </c>
      <c r="H234" s="23" t="n">
        <v>0.44</v>
      </c>
      <c r="I234" s="24" t="n">
        <v>15062</v>
      </c>
    </row>
    <row r="235" customFormat="false" ht="15" hidden="false" customHeight="false" outlineLevel="0" collapsed="false">
      <c r="A235" s="25" t="s">
        <v>65</v>
      </c>
      <c r="B235" s="25" t="s">
        <v>57</v>
      </c>
      <c r="C235" s="25" t="s">
        <v>52</v>
      </c>
      <c r="D235" s="26" t="n">
        <v>81</v>
      </c>
      <c r="E235" s="26" t="n">
        <v>9</v>
      </c>
      <c r="F235" s="26" t="n">
        <f aca="false">D235-E235</f>
        <v>72</v>
      </c>
      <c r="G235" s="27" t="n">
        <f aca="false">IFERROR(F235/D235,0)</f>
        <v>0.888888888888889</v>
      </c>
      <c r="H235" s="28" t="n">
        <v>0.58</v>
      </c>
      <c r="I235" s="29" t="n">
        <v>23211</v>
      </c>
    </row>
    <row r="236" customFormat="false" ht="15" hidden="false" customHeight="false" outlineLevel="0" collapsed="false">
      <c r="A236" s="20" t="s">
        <v>65</v>
      </c>
      <c r="B236" s="20" t="s">
        <v>57</v>
      </c>
      <c r="C236" s="20" t="s">
        <v>53</v>
      </c>
      <c r="D236" s="21" t="n">
        <v>215</v>
      </c>
      <c r="E236" s="21" t="n">
        <v>21</v>
      </c>
      <c r="F236" s="21" t="n">
        <f aca="false">D236-E236</f>
        <v>194</v>
      </c>
      <c r="G236" s="22" t="n">
        <f aca="false">IFERROR(F236/D236,0)</f>
        <v>0.902325581395349</v>
      </c>
      <c r="H236" s="23" t="n">
        <v>0.48</v>
      </c>
      <c r="I236" s="24" t="n">
        <v>18334</v>
      </c>
    </row>
    <row r="237" customFormat="false" ht="15" hidden="false" customHeight="false" outlineLevel="0" collapsed="false">
      <c r="A237" s="25" t="s">
        <v>65</v>
      </c>
      <c r="B237" s="25" t="s">
        <v>58</v>
      </c>
      <c r="C237" s="25" t="s">
        <v>49</v>
      </c>
      <c r="D237" s="26" t="n">
        <v>186</v>
      </c>
      <c r="E237" s="26" t="n">
        <v>69</v>
      </c>
      <c r="F237" s="26" t="n">
        <f aca="false">D237-E237</f>
        <v>117</v>
      </c>
      <c r="G237" s="27" t="n">
        <f aca="false">IFERROR(F237/D237,0)</f>
        <v>0.629032258064516</v>
      </c>
      <c r="H237" s="28" t="n">
        <v>0.64</v>
      </c>
      <c r="I237" s="29" t="n">
        <v>14599</v>
      </c>
    </row>
    <row r="238" customFormat="false" ht="15" hidden="false" customHeight="false" outlineLevel="0" collapsed="false">
      <c r="A238" s="20" t="s">
        <v>65</v>
      </c>
      <c r="B238" s="20" t="s">
        <v>58</v>
      </c>
      <c r="C238" s="20" t="s">
        <v>50</v>
      </c>
      <c r="D238" s="21" t="n">
        <v>128</v>
      </c>
      <c r="E238" s="21" t="n">
        <v>73</v>
      </c>
      <c r="F238" s="21" t="n">
        <f aca="false">D238-E238</f>
        <v>55</v>
      </c>
      <c r="G238" s="22" t="n">
        <f aca="false">IFERROR(F238/D238,0)</f>
        <v>0.4296875</v>
      </c>
      <c r="H238" s="23" t="n">
        <v>0.7</v>
      </c>
      <c r="I238" s="24" t="n">
        <v>11722</v>
      </c>
    </row>
    <row r="239" customFormat="false" ht="15" hidden="false" customHeight="false" outlineLevel="0" collapsed="false">
      <c r="A239" s="25" t="s">
        <v>65</v>
      </c>
      <c r="B239" s="25" t="s">
        <v>58</v>
      </c>
      <c r="C239" s="25" t="s">
        <v>51</v>
      </c>
      <c r="D239" s="26" t="n">
        <v>477</v>
      </c>
      <c r="E239" s="26" t="n">
        <v>274</v>
      </c>
      <c r="F239" s="26" t="n">
        <f aca="false">D239-E239</f>
        <v>203</v>
      </c>
      <c r="G239" s="27" t="n">
        <f aca="false">IFERROR(F239/D239,0)</f>
        <v>0.425576519916143</v>
      </c>
      <c r="H239" s="28" t="n">
        <v>0.8</v>
      </c>
      <c r="I239" s="29" t="n">
        <v>10339</v>
      </c>
    </row>
    <row r="240" customFormat="false" ht="15" hidden="false" customHeight="false" outlineLevel="0" collapsed="false">
      <c r="A240" s="20" t="s">
        <v>65</v>
      </c>
      <c r="B240" s="20" t="s">
        <v>58</v>
      </c>
      <c r="C240" s="20" t="s">
        <v>52</v>
      </c>
      <c r="D240" s="21" t="n">
        <v>196</v>
      </c>
      <c r="E240" s="21" t="n">
        <v>78</v>
      </c>
      <c r="F240" s="21" t="n">
        <f aca="false">D240-E240</f>
        <v>118</v>
      </c>
      <c r="G240" s="22" t="n">
        <f aca="false">IFERROR(F240/D240,0)</f>
        <v>0.602040816326531</v>
      </c>
      <c r="H240" s="23" t="n">
        <v>0.66</v>
      </c>
      <c r="I240" s="24" t="n">
        <v>15615</v>
      </c>
    </row>
    <row r="241" customFormat="false" ht="15" hidden="false" customHeight="false" outlineLevel="0" collapsed="false">
      <c r="A241" s="25" t="s">
        <v>65</v>
      </c>
      <c r="B241" s="25" t="s">
        <v>58</v>
      </c>
      <c r="C241" s="25" t="s">
        <v>53</v>
      </c>
      <c r="D241" s="26" t="n">
        <v>227</v>
      </c>
      <c r="E241" s="26" t="n">
        <v>83</v>
      </c>
      <c r="F241" s="26" t="n">
        <f aca="false">D241-E241</f>
        <v>144</v>
      </c>
      <c r="G241" s="27" t="n">
        <f aca="false">IFERROR(F241/D241,0)</f>
        <v>0.634361233480176</v>
      </c>
      <c r="H241" s="28" t="n">
        <v>0.82</v>
      </c>
      <c r="I241" s="29" t="n">
        <v>12855</v>
      </c>
    </row>
  </sheetData>
  <conditionalFormatting sqref="G2:G241">
    <cfRule type="colorScale" priority="2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6" t="s">
        <v>39</v>
      </c>
      <c r="B1" s="6" t="s">
        <v>70</v>
      </c>
      <c r="C1" s="6" t="s">
        <v>71</v>
      </c>
      <c r="D1" s="6" t="s">
        <v>72</v>
      </c>
      <c r="E1" s="6" t="s">
        <v>73</v>
      </c>
      <c r="F1" s="6" t="s">
        <v>74</v>
      </c>
      <c r="G1" s="6" t="s">
        <v>75</v>
      </c>
    </row>
    <row r="2" customFormat="false" ht="15" hidden="false" customHeight="false" outlineLevel="0" collapsed="false">
      <c r="A2" s="8" t="s">
        <v>48</v>
      </c>
      <c r="B2" s="30" t="n">
        <v>23747</v>
      </c>
      <c r="C2" s="11" t="n">
        <v>11606</v>
      </c>
      <c r="D2" s="11" t="n">
        <v>12141</v>
      </c>
      <c r="E2" s="31" t="n">
        <v>51.1</v>
      </c>
      <c r="F2" s="12" t="n">
        <v>0.74</v>
      </c>
      <c r="G2" s="13" t="n">
        <v>13602</v>
      </c>
    </row>
    <row r="3" customFormat="false" ht="15" hidden="false" customHeight="false" outlineLevel="0" collapsed="false">
      <c r="A3" s="14" t="s">
        <v>55</v>
      </c>
      <c r="B3" s="32" t="n">
        <v>19541</v>
      </c>
      <c r="C3" s="17" t="n">
        <v>7439</v>
      </c>
      <c r="D3" s="17" t="n">
        <v>12102</v>
      </c>
      <c r="E3" s="33" t="n">
        <v>61.9</v>
      </c>
      <c r="F3" s="18" t="n">
        <v>0.68</v>
      </c>
      <c r="G3" s="19" t="n">
        <v>14358</v>
      </c>
    </row>
    <row r="4" customFormat="false" ht="15" hidden="false" customHeight="false" outlineLevel="0" collapsed="false">
      <c r="A4" s="8" t="s">
        <v>56</v>
      </c>
      <c r="B4" s="30" t="n">
        <v>24183</v>
      </c>
      <c r="C4" s="11" t="n">
        <v>12401</v>
      </c>
      <c r="D4" s="11" t="n">
        <v>11782</v>
      </c>
      <c r="E4" s="31" t="n">
        <v>48.7</v>
      </c>
      <c r="F4" s="12" t="n">
        <v>0.67</v>
      </c>
      <c r="G4" s="13" t="n">
        <v>15434</v>
      </c>
    </row>
    <row r="5" customFormat="false" ht="15" hidden="false" customHeight="false" outlineLevel="0" collapsed="false">
      <c r="A5" s="14" t="s">
        <v>58</v>
      </c>
      <c r="B5" s="32" t="n">
        <v>23506</v>
      </c>
      <c r="C5" s="17" t="n">
        <v>12064</v>
      </c>
      <c r="D5" s="17" t="n">
        <v>11442</v>
      </c>
      <c r="E5" s="33" t="n">
        <v>48.7</v>
      </c>
      <c r="F5" s="18" t="n">
        <v>0.72</v>
      </c>
      <c r="G5" s="19" t="n">
        <v>13158</v>
      </c>
    </row>
    <row r="6" customFormat="false" ht="15" hidden="false" customHeight="false" outlineLevel="0" collapsed="false">
      <c r="A6" s="8" t="s">
        <v>54</v>
      </c>
      <c r="B6" s="30" t="n">
        <v>14544</v>
      </c>
      <c r="C6" s="11" t="n">
        <v>3552</v>
      </c>
      <c r="D6" s="11" t="n">
        <v>10992</v>
      </c>
      <c r="E6" s="31" t="n">
        <v>75.6</v>
      </c>
      <c r="F6" s="12" t="n">
        <v>0.49</v>
      </c>
      <c r="G6" s="13" t="n">
        <v>24046</v>
      </c>
    </row>
    <row r="7" customFormat="false" ht="15" hidden="false" customHeight="false" outlineLevel="0" collapsed="false">
      <c r="A7" s="14" t="s">
        <v>57</v>
      </c>
      <c r="B7" s="32" t="n">
        <v>9522</v>
      </c>
      <c r="C7" s="17" t="n">
        <v>1289</v>
      </c>
      <c r="D7" s="17" t="n">
        <v>8233</v>
      </c>
      <c r="E7" s="33" t="n">
        <v>86.5</v>
      </c>
      <c r="F7" s="18" t="n">
        <v>0.52</v>
      </c>
      <c r="G7" s="19" t="n">
        <v>18913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6" t="s">
        <v>38</v>
      </c>
      <c r="B1" s="6" t="s">
        <v>70</v>
      </c>
      <c r="C1" s="6" t="s">
        <v>71</v>
      </c>
      <c r="D1" s="6" t="s">
        <v>72</v>
      </c>
      <c r="E1" s="6" t="s">
        <v>73</v>
      </c>
    </row>
    <row r="2" customFormat="false" ht="15" hidden="false" customHeight="false" outlineLevel="0" collapsed="false">
      <c r="A2" s="8" t="s">
        <v>59</v>
      </c>
      <c r="B2" s="30" t="n">
        <v>94029</v>
      </c>
      <c r="C2" s="11" t="n">
        <v>39470</v>
      </c>
      <c r="D2" s="11" t="n">
        <v>54559</v>
      </c>
      <c r="E2" s="31" t="n">
        <v>58</v>
      </c>
    </row>
    <row r="3" customFormat="false" ht="15" hidden="false" customHeight="false" outlineLevel="0" collapsed="false">
      <c r="A3" s="14" t="s">
        <v>65</v>
      </c>
      <c r="B3" s="32" t="n">
        <v>5789</v>
      </c>
      <c r="C3" s="17" t="n">
        <v>2457</v>
      </c>
      <c r="D3" s="17" t="n">
        <v>3332</v>
      </c>
      <c r="E3" s="33" t="n">
        <v>57.6</v>
      </c>
    </row>
    <row r="4" customFormat="false" ht="15" hidden="false" customHeight="false" outlineLevel="0" collapsed="false">
      <c r="A4" s="8" t="s">
        <v>61</v>
      </c>
      <c r="B4" s="30" t="n">
        <v>5482</v>
      </c>
      <c r="C4" s="11" t="n">
        <v>2365</v>
      </c>
      <c r="D4" s="11" t="n">
        <v>3117</v>
      </c>
      <c r="E4" s="31" t="n">
        <v>56.9</v>
      </c>
    </row>
    <row r="5" customFormat="false" ht="15" hidden="false" customHeight="false" outlineLevel="0" collapsed="false">
      <c r="A5" s="14" t="s">
        <v>60</v>
      </c>
      <c r="B5" s="32" t="n">
        <v>4333</v>
      </c>
      <c r="C5" s="17" t="n">
        <v>1805</v>
      </c>
      <c r="D5" s="17" t="n">
        <v>2528</v>
      </c>
      <c r="E5" s="33" t="n">
        <v>58.3</v>
      </c>
    </row>
    <row r="6" customFormat="false" ht="15" hidden="false" customHeight="false" outlineLevel="0" collapsed="false">
      <c r="A6" s="8" t="s">
        <v>63</v>
      </c>
      <c r="B6" s="30" t="n">
        <v>2223</v>
      </c>
      <c r="C6" s="11" t="n">
        <v>919</v>
      </c>
      <c r="D6" s="11" t="n">
        <v>1304</v>
      </c>
      <c r="E6" s="31" t="n">
        <v>58.7</v>
      </c>
    </row>
    <row r="7" customFormat="false" ht="15" hidden="false" customHeight="false" outlineLevel="0" collapsed="false">
      <c r="A7" s="14" t="s">
        <v>47</v>
      </c>
      <c r="B7" s="32" t="n">
        <v>1508</v>
      </c>
      <c r="C7" s="17" t="n">
        <v>657</v>
      </c>
      <c r="D7" s="17" t="n">
        <v>851</v>
      </c>
      <c r="E7" s="33" t="n">
        <v>56.4</v>
      </c>
    </row>
    <row r="8" customFormat="false" ht="15" hidden="false" customHeight="false" outlineLevel="0" collapsed="false">
      <c r="A8" s="8" t="s">
        <v>62</v>
      </c>
      <c r="B8" s="30" t="n">
        <v>988</v>
      </c>
      <c r="C8" s="11" t="n">
        <v>415</v>
      </c>
      <c r="D8" s="11" t="n">
        <v>573</v>
      </c>
      <c r="E8" s="31" t="n">
        <v>58</v>
      </c>
    </row>
    <row r="9" customFormat="false" ht="15" hidden="false" customHeight="false" outlineLevel="0" collapsed="false">
      <c r="A9" s="14" t="s">
        <v>64</v>
      </c>
      <c r="B9" s="32" t="n">
        <v>691</v>
      </c>
      <c r="C9" s="17" t="n">
        <v>263</v>
      </c>
      <c r="D9" s="17" t="n">
        <v>428</v>
      </c>
      <c r="E9" s="33" t="n">
        <v>61.9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8"/>
    <col collapsed="false" customWidth="true" hidden="false" outlineLevel="0" max="6" min="3" style="0" width="10"/>
    <col collapsed="false" customWidth="true" hidden="false" outlineLevel="0" max="7" min="7" style="0" width="13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6" t="s">
        <v>38</v>
      </c>
      <c r="B1" s="6" t="s">
        <v>39</v>
      </c>
      <c r="C1" s="6" t="s">
        <v>76</v>
      </c>
      <c r="D1" s="6" t="s">
        <v>77</v>
      </c>
      <c r="E1" s="6" t="s">
        <v>78</v>
      </c>
      <c r="F1" s="6" t="s">
        <v>73</v>
      </c>
      <c r="G1" s="6" t="s">
        <v>79</v>
      </c>
      <c r="H1" s="6" t="s">
        <v>80</v>
      </c>
      <c r="J1" s="7" t="s">
        <v>81</v>
      </c>
    </row>
    <row r="2" customFormat="false" ht="15" hidden="false" customHeight="false" outlineLevel="0" collapsed="false">
      <c r="A2" s="8" t="s">
        <v>59</v>
      </c>
      <c r="B2" s="8" t="s">
        <v>57</v>
      </c>
      <c r="C2" s="11" t="n">
        <v>7454</v>
      </c>
      <c r="D2" s="11" t="n">
        <v>961</v>
      </c>
      <c r="E2" s="11" t="n">
        <v>6493</v>
      </c>
      <c r="F2" s="31" t="n">
        <v>87.1</v>
      </c>
      <c r="G2" s="12" t="n">
        <v>0.55</v>
      </c>
      <c r="H2" s="34" t="n">
        <v>0.625</v>
      </c>
    </row>
    <row r="3" customFormat="false" ht="15" hidden="false" customHeight="false" outlineLevel="0" collapsed="false">
      <c r="A3" s="14" t="s">
        <v>59</v>
      </c>
      <c r="B3" s="14" t="s">
        <v>55</v>
      </c>
      <c r="C3" s="17" t="n">
        <v>16295</v>
      </c>
      <c r="D3" s="17" t="n">
        <v>6155</v>
      </c>
      <c r="E3" s="17" t="n">
        <v>10140</v>
      </c>
      <c r="F3" s="33" t="n">
        <v>62.2</v>
      </c>
      <c r="G3" s="18" t="n">
        <v>0.68</v>
      </c>
      <c r="H3" s="35" t="n">
        <v>0.622</v>
      </c>
    </row>
    <row r="4" customFormat="false" ht="15" hidden="false" customHeight="false" outlineLevel="0" collapsed="false">
      <c r="A4" s="8" t="s">
        <v>59</v>
      </c>
      <c r="B4" s="8" t="s">
        <v>48</v>
      </c>
      <c r="C4" s="11" t="n">
        <v>19515</v>
      </c>
      <c r="D4" s="11" t="n">
        <v>9427</v>
      </c>
      <c r="E4" s="11" t="n">
        <v>10088</v>
      </c>
      <c r="F4" s="31" t="n">
        <v>51.7</v>
      </c>
      <c r="G4" s="12" t="n">
        <v>0.73</v>
      </c>
      <c r="H4" s="34" t="n">
        <v>0.609</v>
      </c>
    </row>
    <row r="5" customFormat="false" ht="15" hidden="false" customHeight="false" outlineLevel="0" collapsed="false">
      <c r="A5" s="14" t="s">
        <v>59</v>
      </c>
      <c r="B5" s="14" t="s">
        <v>54</v>
      </c>
      <c r="C5" s="17" t="n">
        <v>12200</v>
      </c>
      <c r="D5" s="17" t="n">
        <v>2961</v>
      </c>
      <c r="E5" s="17" t="n">
        <v>9239</v>
      </c>
      <c r="F5" s="33" t="n">
        <v>75.7</v>
      </c>
      <c r="G5" s="18" t="n">
        <v>0.52</v>
      </c>
      <c r="H5" s="35" t="n">
        <v>0.584</v>
      </c>
    </row>
    <row r="6" customFormat="false" ht="15" hidden="false" customHeight="false" outlineLevel="0" collapsed="false">
      <c r="A6" s="8" t="s">
        <v>59</v>
      </c>
      <c r="B6" s="8" t="s">
        <v>58</v>
      </c>
      <c r="C6" s="11" t="n">
        <v>18288</v>
      </c>
      <c r="D6" s="11" t="n">
        <v>9575</v>
      </c>
      <c r="E6" s="11" t="n">
        <v>8713</v>
      </c>
      <c r="F6" s="31" t="n">
        <v>47.6</v>
      </c>
      <c r="G6" s="12" t="n">
        <v>0.73</v>
      </c>
      <c r="H6" s="34" t="n">
        <v>0.55</v>
      </c>
    </row>
    <row r="7" customFormat="false" ht="15" hidden="false" customHeight="false" outlineLevel="0" collapsed="false">
      <c r="A7" s="14" t="s">
        <v>59</v>
      </c>
      <c r="B7" s="14" t="s">
        <v>56</v>
      </c>
      <c r="C7" s="17" t="n">
        <v>20277</v>
      </c>
      <c r="D7" s="17" t="n">
        <v>10391</v>
      </c>
      <c r="E7" s="17" t="n">
        <v>9886</v>
      </c>
      <c r="F7" s="33" t="n">
        <v>48.8</v>
      </c>
      <c r="G7" s="18" t="n">
        <v>0.64</v>
      </c>
      <c r="H7" s="35" t="n">
        <v>0.544</v>
      </c>
    </row>
    <row r="8" customFormat="false" ht="15" hidden="false" customHeight="false" outlineLevel="0" collapsed="false">
      <c r="A8" s="8" t="s">
        <v>65</v>
      </c>
      <c r="B8" s="8" t="s">
        <v>57</v>
      </c>
      <c r="C8" s="11" t="n">
        <v>560</v>
      </c>
      <c r="D8" s="11" t="n">
        <v>66</v>
      </c>
      <c r="E8" s="11" t="n">
        <v>494</v>
      </c>
      <c r="F8" s="31" t="n">
        <v>88.2</v>
      </c>
      <c r="G8" s="12" t="n">
        <v>0.54</v>
      </c>
      <c r="H8" s="34" t="n">
        <v>0.51</v>
      </c>
    </row>
    <row r="9" customFormat="false" ht="15" hidden="false" customHeight="false" outlineLevel="0" collapsed="false">
      <c r="A9" s="14" t="s">
        <v>63</v>
      </c>
      <c r="B9" s="14" t="s">
        <v>57</v>
      </c>
      <c r="C9" s="17" t="n">
        <v>212</v>
      </c>
      <c r="D9" s="17" t="n">
        <v>39</v>
      </c>
      <c r="E9" s="17" t="n">
        <v>173</v>
      </c>
      <c r="F9" s="33" t="n">
        <v>81.6</v>
      </c>
      <c r="G9" s="18" t="n">
        <v>0.55</v>
      </c>
      <c r="H9" s="35" t="n">
        <v>0.448</v>
      </c>
    </row>
    <row r="10" customFormat="false" ht="15" hidden="false" customHeight="false" outlineLevel="0" collapsed="false">
      <c r="A10" s="8" t="s">
        <v>61</v>
      </c>
      <c r="B10" s="8" t="s">
        <v>57</v>
      </c>
      <c r="C10" s="11" t="n">
        <v>513</v>
      </c>
      <c r="D10" s="11" t="n">
        <v>79</v>
      </c>
      <c r="E10" s="11" t="n">
        <v>434</v>
      </c>
      <c r="F10" s="31" t="n">
        <v>84.6</v>
      </c>
      <c r="G10" s="12" t="n">
        <v>0.48</v>
      </c>
      <c r="H10" s="34" t="n">
        <v>0.441</v>
      </c>
    </row>
    <row r="11" customFormat="false" ht="15" hidden="false" customHeight="false" outlineLevel="0" collapsed="false">
      <c r="A11" s="14" t="s">
        <v>64</v>
      </c>
      <c r="B11" s="14" t="s">
        <v>57</v>
      </c>
      <c r="C11" s="17" t="n">
        <v>94</v>
      </c>
      <c r="D11" s="17" t="n">
        <v>18</v>
      </c>
      <c r="E11" s="17" t="n">
        <v>76</v>
      </c>
      <c r="F11" s="33" t="n">
        <v>80.9</v>
      </c>
      <c r="G11" s="18" t="n">
        <v>0.55</v>
      </c>
      <c r="H11" s="35" t="n">
        <v>0.44</v>
      </c>
    </row>
    <row r="12" customFormat="false" ht="15" hidden="false" customHeight="false" outlineLevel="0" collapsed="false">
      <c r="A12" s="8" t="s">
        <v>47</v>
      </c>
      <c r="B12" s="8" t="s">
        <v>57</v>
      </c>
      <c r="C12" s="11" t="n">
        <v>186</v>
      </c>
      <c r="D12" s="11" t="n">
        <v>34</v>
      </c>
      <c r="E12" s="11" t="n">
        <v>152</v>
      </c>
      <c r="F12" s="31" t="n">
        <v>81.7</v>
      </c>
      <c r="G12" s="12" t="n">
        <v>0.51</v>
      </c>
      <c r="H12" s="34" t="n">
        <v>0.426</v>
      </c>
    </row>
    <row r="13" customFormat="false" ht="15" hidden="false" customHeight="false" outlineLevel="0" collapsed="false">
      <c r="A13" s="14" t="s">
        <v>62</v>
      </c>
      <c r="B13" s="14" t="s">
        <v>57</v>
      </c>
      <c r="C13" s="17" t="n">
        <v>99</v>
      </c>
      <c r="D13" s="17" t="n">
        <v>19</v>
      </c>
      <c r="E13" s="17" t="n">
        <v>80</v>
      </c>
      <c r="F13" s="33" t="n">
        <v>80.8</v>
      </c>
      <c r="G13" s="18" t="n">
        <v>0.52</v>
      </c>
      <c r="H13" s="35" t="n">
        <v>0.422</v>
      </c>
    </row>
    <row r="14" customFormat="false" ht="15" hidden="false" customHeight="false" outlineLevel="0" collapsed="false">
      <c r="A14" s="8" t="s">
        <v>60</v>
      </c>
      <c r="B14" s="8" t="s">
        <v>57</v>
      </c>
      <c r="C14" s="11" t="n">
        <v>404</v>
      </c>
      <c r="D14" s="11" t="n">
        <v>73</v>
      </c>
      <c r="E14" s="11" t="n">
        <v>331</v>
      </c>
      <c r="F14" s="31" t="n">
        <v>81.9</v>
      </c>
      <c r="G14" s="12" t="n">
        <v>0.49</v>
      </c>
      <c r="H14" s="34" t="n">
        <v>0.42</v>
      </c>
    </row>
    <row r="15" customFormat="false" ht="15" hidden="false" customHeight="false" outlineLevel="0" collapsed="false">
      <c r="A15" s="14" t="s">
        <v>60</v>
      </c>
      <c r="B15" s="14" t="s">
        <v>54</v>
      </c>
      <c r="C15" s="17" t="n">
        <v>453</v>
      </c>
      <c r="D15" s="17" t="n">
        <v>104</v>
      </c>
      <c r="E15" s="17" t="n">
        <v>349</v>
      </c>
      <c r="F15" s="33" t="n">
        <v>77</v>
      </c>
      <c r="G15" s="18" t="n">
        <v>0.51</v>
      </c>
      <c r="H15" s="35" t="n">
        <v>0.387</v>
      </c>
    </row>
    <row r="16" customFormat="false" ht="15" hidden="false" customHeight="false" outlineLevel="0" collapsed="false">
      <c r="A16" s="8" t="s">
        <v>62</v>
      </c>
      <c r="B16" s="8" t="s">
        <v>54</v>
      </c>
      <c r="C16" s="11" t="n">
        <v>119</v>
      </c>
      <c r="D16" s="11" t="n">
        <v>26</v>
      </c>
      <c r="E16" s="11" t="n">
        <v>93</v>
      </c>
      <c r="F16" s="31" t="n">
        <v>78.2</v>
      </c>
      <c r="G16" s="12" t="n">
        <v>0.49</v>
      </c>
      <c r="H16" s="34" t="n">
        <v>0.381</v>
      </c>
    </row>
    <row r="17" customFormat="false" ht="15" hidden="false" customHeight="false" outlineLevel="0" collapsed="false">
      <c r="A17" s="14" t="s">
        <v>47</v>
      </c>
      <c r="B17" s="14" t="s">
        <v>54</v>
      </c>
      <c r="C17" s="17" t="n">
        <v>156</v>
      </c>
      <c r="D17" s="17" t="n">
        <v>40</v>
      </c>
      <c r="E17" s="17" t="n">
        <v>116</v>
      </c>
      <c r="F17" s="33" t="n">
        <v>74.4</v>
      </c>
      <c r="G17" s="18" t="n">
        <v>0.54</v>
      </c>
      <c r="H17" s="35" t="n">
        <v>0.375</v>
      </c>
    </row>
    <row r="18" customFormat="false" ht="15" hidden="false" customHeight="false" outlineLevel="0" collapsed="false">
      <c r="A18" s="8" t="s">
        <v>60</v>
      </c>
      <c r="B18" s="8" t="s">
        <v>55</v>
      </c>
      <c r="C18" s="11" t="n">
        <v>635</v>
      </c>
      <c r="D18" s="11" t="n">
        <v>238</v>
      </c>
      <c r="E18" s="11" t="n">
        <v>397</v>
      </c>
      <c r="F18" s="31" t="n">
        <v>62.5</v>
      </c>
      <c r="G18" s="12" t="n">
        <v>0.71</v>
      </c>
      <c r="H18" s="34" t="n">
        <v>0.37</v>
      </c>
    </row>
    <row r="19" customFormat="false" ht="15" hidden="false" customHeight="false" outlineLevel="0" collapsed="false">
      <c r="A19" s="14" t="s">
        <v>61</v>
      </c>
      <c r="B19" s="14" t="s">
        <v>55</v>
      </c>
      <c r="C19" s="17" t="n">
        <v>865</v>
      </c>
      <c r="D19" s="17" t="n">
        <v>321</v>
      </c>
      <c r="E19" s="17" t="n">
        <v>544</v>
      </c>
      <c r="F19" s="33" t="n">
        <v>62.9</v>
      </c>
      <c r="G19" s="18" t="n">
        <v>0.69</v>
      </c>
      <c r="H19" s="35" t="n">
        <v>0.366</v>
      </c>
    </row>
    <row r="20" customFormat="false" ht="15" hidden="false" customHeight="false" outlineLevel="0" collapsed="false">
      <c r="A20" s="8" t="s">
        <v>63</v>
      </c>
      <c r="B20" s="8" t="s">
        <v>54</v>
      </c>
      <c r="C20" s="11" t="n">
        <v>255</v>
      </c>
      <c r="D20" s="11" t="n">
        <v>67</v>
      </c>
      <c r="E20" s="11" t="n">
        <v>188</v>
      </c>
      <c r="F20" s="31" t="n">
        <v>73.7</v>
      </c>
      <c r="G20" s="12" t="n">
        <v>0.51</v>
      </c>
      <c r="H20" s="34" t="n">
        <v>0.353</v>
      </c>
    </row>
    <row r="21" customFormat="false" ht="15" hidden="false" customHeight="false" outlineLevel="0" collapsed="false">
      <c r="A21" s="14" t="s">
        <v>65</v>
      </c>
      <c r="B21" s="14" t="s">
        <v>54</v>
      </c>
      <c r="C21" s="17" t="n">
        <v>717</v>
      </c>
      <c r="D21" s="17" t="n">
        <v>181</v>
      </c>
      <c r="E21" s="17" t="n">
        <v>536</v>
      </c>
      <c r="F21" s="33" t="n">
        <v>74.8</v>
      </c>
      <c r="G21" s="18" t="n">
        <v>0.46</v>
      </c>
      <c r="H21" s="35" t="n">
        <v>0.343</v>
      </c>
    </row>
    <row r="22" customFormat="false" ht="15" hidden="false" customHeight="false" outlineLevel="0" collapsed="false">
      <c r="A22" s="8" t="s">
        <v>62</v>
      </c>
      <c r="B22" s="8" t="s">
        <v>55</v>
      </c>
      <c r="C22" s="11" t="n">
        <v>143</v>
      </c>
      <c r="D22" s="11" t="n">
        <v>54</v>
      </c>
      <c r="E22" s="11" t="n">
        <v>89</v>
      </c>
      <c r="F22" s="31" t="n">
        <v>62.2</v>
      </c>
      <c r="G22" s="12" t="n">
        <v>0.67</v>
      </c>
      <c r="H22" s="34" t="n">
        <v>0.336</v>
      </c>
    </row>
    <row r="23" customFormat="false" ht="15" hidden="false" customHeight="false" outlineLevel="0" collapsed="false">
      <c r="A23" s="14" t="s">
        <v>63</v>
      </c>
      <c r="B23" s="14" t="s">
        <v>55</v>
      </c>
      <c r="C23" s="17" t="n">
        <v>345</v>
      </c>
      <c r="D23" s="17" t="n">
        <v>140</v>
      </c>
      <c r="E23" s="17" t="n">
        <v>205</v>
      </c>
      <c r="F23" s="33" t="n">
        <v>59.4</v>
      </c>
      <c r="G23" s="18" t="n">
        <v>0.71</v>
      </c>
      <c r="H23" s="35" t="n">
        <v>0.336</v>
      </c>
    </row>
    <row r="24" customFormat="false" ht="15" hidden="false" customHeight="false" outlineLevel="0" collapsed="false">
      <c r="A24" s="8" t="s">
        <v>64</v>
      </c>
      <c r="B24" s="8" t="s">
        <v>55</v>
      </c>
      <c r="C24" s="11" t="n">
        <v>89</v>
      </c>
      <c r="D24" s="11" t="n">
        <v>33</v>
      </c>
      <c r="E24" s="11" t="n">
        <v>56</v>
      </c>
      <c r="F24" s="31" t="n">
        <v>62.9</v>
      </c>
      <c r="G24" s="12" t="n">
        <v>0.66</v>
      </c>
      <c r="H24" s="34" t="n">
        <v>0.336</v>
      </c>
    </row>
    <row r="25" customFormat="false" ht="15" hidden="false" customHeight="false" outlineLevel="0" collapsed="false">
      <c r="A25" s="14" t="s">
        <v>64</v>
      </c>
      <c r="B25" s="14" t="s">
        <v>58</v>
      </c>
      <c r="C25" s="17" t="n">
        <v>185</v>
      </c>
      <c r="D25" s="17" t="n">
        <v>77</v>
      </c>
      <c r="E25" s="17" t="n">
        <v>108</v>
      </c>
      <c r="F25" s="33" t="n">
        <v>58.4</v>
      </c>
      <c r="G25" s="18" t="n">
        <v>0.72</v>
      </c>
      <c r="H25" s="35" t="n">
        <v>0.33</v>
      </c>
    </row>
    <row r="26" customFormat="false" ht="15" hidden="false" customHeight="false" outlineLevel="0" collapsed="false">
      <c r="A26" s="8" t="s">
        <v>61</v>
      </c>
      <c r="B26" s="8" t="s">
        <v>54</v>
      </c>
      <c r="C26" s="11" t="n">
        <v>555</v>
      </c>
      <c r="D26" s="11" t="n">
        <v>150</v>
      </c>
      <c r="E26" s="11" t="n">
        <v>405</v>
      </c>
      <c r="F26" s="31" t="n">
        <v>73</v>
      </c>
      <c r="G26" s="12" t="n">
        <v>0.47</v>
      </c>
      <c r="H26" s="34" t="n">
        <v>0.329</v>
      </c>
    </row>
    <row r="27" customFormat="false" ht="15" hidden="false" customHeight="false" outlineLevel="0" collapsed="false">
      <c r="A27" s="14" t="s">
        <v>65</v>
      </c>
      <c r="B27" s="14" t="s">
        <v>55</v>
      </c>
      <c r="C27" s="17" t="n">
        <v>976</v>
      </c>
      <c r="D27" s="17" t="n">
        <v>426</v>
      </c>
      <c r="E27" s="17" t="n">
        <v>550</v>
      </c>
      <c r="F27" s="33" t="n">
        <v>56.4</v>
      </c>
      <c r="G27" s="18" t="n">
        <v>0.72</v>
      </c>
      <c r="H27" s="35" t="n">
        <v>0.325</v>
      </c>
    </row>
    <row r="28" customFormat="false" ht="15" hidden="false" customHeight="false" outlineLevel="0" collapsed="false">
      <c r="A28" s="8" t="s">
        <v>47</v>
      </c>
      <c r="B28" s="8" t="s">
        <v>55</v>
      </c>
      <c r="C28" s="11" t="n">
        <v>193</v>
      </c>
      <c r="D28" s="11" t="n">
        <v>72</v>
      </c>
      <c r="E28" s="11" t="n">
        <v>121</v>
      </c>
      <c r="F28" s="31" t="n">
        <v>62.7</v>
      </c>
      <c r="G28" s="12" t="n">
        <v>0.64</v>
      </c>
      <c r="H28" s="34" t="n">
        <v>0.324</v>
      </c>
    </row>
    <row r="29" customFormat="false" ht="15" hidden="false" customHeight="false" outlineLevel="0" collapsed="false">
      <c r="A29" s="14" t="s">
        <v>64</v>
      </c>
      <c r="B29" s="14" t="s">
        <v>54</v>
      </c>
      <c r="C29" s="17" t="n">
        <v>89</v>
      </c>
      <c r="D29" s="17" t="n">
        <v>23</v>
      </c>
      <c r="E29" s="17" t="n">
        <v>66</v>
      </c>
      <c r="F29" s="33" t="n">
        <v>74.2</v>
      </c>
      <c r="G29" s="18" t="n">
        <v>0.45</v>
      </c>
      <c r="H29" s="35" t="n">
        <v>0.32</v>
      </c>
    </row>
    <row r="30" customFormat="false" ht="15" hidden="false" customHeight="false" outlineLevel="0" collapsed="false">
      <c r="A30" s="8" t="s">
        <v>62</v>
      </c>
      <c r="B30" s="8" t="s">
        <v>58</v>
      </c>
      <c r="C30" s="11" t="n">
        <v>247</v>
      </c>
      <c r="D30" s="11" t="n">
        <v>116</v>
      </c>
      <c r="E30" s="11" t="n">
        <v>131</v>
      </c>
      <c r="F30" s="31" t="n">
        <v>53</v>
      </c>
      <c r="G30" s="12" t="n">
        <v>0.78</v>
      </c>
      <c r="H30" s="34" t="n">
        <v>0.315</v>
      </c>
    </row>
    <row r="31" customFormat="false" ht="15" hidden="false" customHeight="false" outlineLevel="0" collapsed="false">
      <c r="A31" s="14" t="s">
        <v>63</v>
      </c>
      <c r="B31" s="14" t="s">
        <v>58</v>
      </c>
      <c r="C31" s="17" t="n">
        <v>578</v>
      </c>
      <c r="D31" s="17" t="n">
        <v>246</v>
      </c>
      <c r="E31" s="17" t="n">
        <v>332</v>
      </c>
      <c r="F31" s="33" t="n">
        <v>57.4</v>
      </c>
      <c r="G31" s="18" t="n">
        <v>0.69</v>
      </c>
      <c r="H31" s="35" t="n">
        <v>0.31</v>
      </c>
    </row>
    <row r="32" customFormat="false" ht="15" hidden="false" customHeight="false" outlineLevel="0" collapsed="false">
      <c r="A32" s="8" t="s">
        <v>64</v>
      </c>
      <c r="B32" s="8" t="s">
        <v>48</v>
      </c>
      <c r="C32" s="11" t="n">
        <v>123</v>
      </c>
      <c r="D32" s="11" t="n">
        <v>56</v>
      </c>
      <c r="E32" s="11" t="n">
        <v>67</v>
      </c>
      <c r="F32" s="31" t="n">
        <v>54.5</v>
      </c>
      <c r="G32" s="12" t="n">
        <v>0.73</v>
      </c>
      <c r="H32" s="34" t="n">
        <v>0.299</v>
      </c>
    </row>
    <row r="33" customFormat="false" ht="15" hidden="false" customHeight="false" outlineLevel="0" collapsed="false">
      <c r="A33" s="14" t="s">
        <v>65</v>
      </c>
      <c r="B33" s="14" t="s">
        <v>58</v>
      </c>
      <c r="C33" s="17" t="n">
        <v>1214</v>
      </c>
      <c r="D33" s="17" t="n">
        <v>577</v>
      </c>
      <c r="E33" s="17" t="n">
        <v>637</v>
      </c>
      <c r="F33" s="33" t="n">
        <v>52.5</v>
      </c>
      <c r="G33" s="18" t="n">
        <v>0.72</v>
      </c>
      <c r="H33" s="35" t="n">
        <v>0.293</v>
      </c>
    </row>
    <row r="34" customFormat="false" ht="15" hidden="false" customHeight="false" outlineLevel="0" collapsed="false">
      <c r="A34" s="8" t="s">
        <v>47</v>
      </c>
      <c r="B34" s="8" t="s">
        <v>48</v>
      </c>
      <c r="C34" s="11" t="n">
        <v>310</v>
      </c>
      <c r="D34" s="11" t="n">
        <v>150</v>
      </c>
      <c r="E34" s="11" t="n">
        <v>160</v>
      </c>
      <c r="F34" s="31" t="n">
        <v>51.6</v>
      </c>
      <c r="G34" s="12" t="n">
        <v>0.76</v>
      </c>
      <c r="H34" s="34" t="n">
        <v>0.292</v>
      </c>
    </row>
    <row r="35" customFormat="false" ht="15" hidden="false" customHeight="false" outlineLevel="0" collapsed="false">
      <c r="A35" s="14" t="s">
        <v>60</v>
      </c>
      <c r="B35" s="14" t="s">
        <v>48</v>
      </c>
      <c r="C35" s="17" t="n">
        <v>913</v>
      </c>
      <c r="D35" s="17" t="n">
        <v>436</v>
      </c>
      <c r="E35" s="17" t="n">
        <v>477</v>
      </c>
      <c r="F35" s="33" t="n">
        <v>52.2</v>
      </c>
      <c r="G35" s="18" t="n">
        <v>0.73</v>
      </c>
      <c r="H35" s="35" t="n">
        <v>0.291</v>
      </c>
    </row>
    <row r="36" customFormat="false" ht="15" hidden="false" customHeight="false" outlineLevel="0" collapsed="false">
      <c r="A36" s="8" t="s">
        <v>63</v>
      </c>
      <c r="B36" s="8" t="s">
        <v>48</v>
      </c>
      <c r="C36" s="11" t="n">
        <v>439</v>
      </c>
      <c r="D36" s="11" t="n">
        <v>219</v>
      </c>
      <c r="E36" s="11" t="n">
        <v>220</v>
      </c>
      <c r="F36" s="31" t="n">
        <v>50.1</v>
      </c>
      <c r="G36" s="12" t="n">
        <v>0.77</v>
      </c>
      <c r="H36" s="34" t="n">
        <v>0.286</v>
      </c>
    </row>
    <row r="37" customFormat="false" ht="15" hidden="false" customHeight="false" outlineLevel="0" collapsed="false">
      <c r="A37" s="14" t="s">
        <v>60</v>
      </c>
      <c r="B37" s="14" t="s">
        <v>58</v>
      </c>
      <c r="C37" s="17" t="n">
        <v>1069</v>
      </c>
      <c r="D37" s="17" t="n">
        <v>522</v>
      </c>
      <c r="E37" s="17" t="n">
        <v>547</v>
      </c>
      <c r="F37" s="33" t="n">
        <v>51.2</v>
      </c>
      <c r="G37" s="18" t="n">
        <v>0.73</v>
      </c>
      <c r="H37" s="35" t="n">
        <v>0.284</v>
      </c>
    </row>
    <row r="38" customFormat="false" ht="15" hidden="false" customHeight="false" outlineLevel="0" collapsed="false">
      <c r="A38" s="8" t="s">
        <v>61</v>
      </c>
      <c r="B38" s="8" t="s">
        <v>58</v>
      </c>
      <c r="C38" s="11" t="n">
        <v>1522</v>
      </c>
      <c r="D38" s="11" t="n">
        <v>747</v>
      </c>
      <c r="E38" s="11" t="n">
        <v>775</v>
      </c>
      <c r="F38" s="31" t="n">
        <v>50.9</v>
      </c>
      <c r="G38" s="12" t="n">
        <v>0.71</v>
      </c>
      <c r="H38" s="34" t="n">
        <v>0.278</v>
      </c>
    </row>
    <row r="39" customFormat="false" ht="15" hidden="false" customHeight="false" outlineLevel="0" collapsed="false">
      <c r="A39" s="14" t="s">
        <v>62</v>
      </c>
      <c r="B39" s="14" t="s">
        <v>48</v>
      </c>
      <c r="C39" s="17" t="n">
        <v>193</v>
      </c>
      <c r="D39" s="17" t="n">
        <v>93</v>
      </c>
      <c r="E39" s="17" t="n">
        <v>100</v>
      </c>
      <c r="F39" s="33" t="n">
        <v>51.8</v>
      </c>
      <c r="G39" s="18" t="n">
        <v>0.73</v>
      </c>
      <c r="H39" s="35" t="n">
        <v>0.275</v>
      </c>
    </row>
    <row r="40" customFormat="false" ht="15" hidden="false" customHeight="false" outlineLevel="0" collapsed="false">
      <c r="A40" s="8" t="s">
        <v>61</v>
      </c>
      <c r="B40" s="8" t="s">
        <v>48</v>
      </c>
      <c r="C40" s="11" t="n">
        <v>988</v>
      </c>
      <c r="D40" s="11" t="n">
        <v>553</v>
      </c>
      <c r="E40" s="11" t="n">
        <v>435</v>
      </c>
      <c r="F40" s="31" t="n">
        <v>44</v>
      </c>
      <c r="G40" s="12" t="n">
        <v>0.8</v>
      </c>
      <c r="H40" s="34" t="n">
        <v>0.256</v>
      </c>
    </row>
    <row r="41" customFormat="false" ht="15" hidden="false" customHeight="false" outlineLevel="0" collapsed="false">
      <c r="A41" s="14" t="s">
        <v>65</v>
      </c>
      <c r="B41" s="14" t="s">
        <v>56</v>
      </c>
      <c r="C41" s="17" t="n">
        <v>1056</v>
      </c>
      <c r="D41" s="17" t="n">
        <v>535</v>
      </c>
      <c r="E41" s="17" t="n">
        <v>521</v>
      </c>
      <c r="F41" s="33" t="n">
        <v>49.3</v>
      </c>
      <c r="G41" s="18" t="n">
        <v>0.69</v>
      </c>
      <c r="H41" s="35" t="n">
        <v>0.244</v>
      </c>
    </row>
    <row r="42" customFormat="false" ht="15" hidden="false" customHeight="false" outlineLevel="0" collapsed="false">
      <c r="A42" s="8" t="s">
        <v>47</v>
      </c>
      <c r="B42" s="8" t="s">
        <v>58</v>
      </c>
      <c r="C42" s="11" t="n">
        <v>403</v>
      </c>
      <c r="D42" s="11" t="n">
        <v>204</v>
      </c>
      <c r="E42" s="11" t="n">
        <v>199</v>
      </c>
      <c r="F42" s="31" t="n">
        <v>49.4</v>
      </c>
      <c r="G42" s="12" t="n">
        <v>0.7</v>
      </c>
      <c r="H42" s="34" t="n">
        <v>0.239</v>
      </c>
    </row>
    <row r="43" customFormat="false" ht="15" hidden="false" customHeight="false" outlineLevel="0" collapsed="false">
      <c r="A43" s="14" t="s">
        <v>61</v>
      </c>
      <c r="B43" s="14" t="s">
        <v>56</v>
      </c>
      <c r="C43" s="17" t="n">
        <v>1039</v>
      </c>
      <c r="D43" s="17" t="n">
        <v>515</v>
      </c>
      <c r="E43" s="17" t="n">
        <v>524</v>
      </c>
      <c r="F43" s="33" t="n">
        <v>50.4</v>
      </c>
      <c r="G43" s="18" t="n">
        <v>0.66</v>
      </c>
      <c r="H43" s="35" t="n">
        <v>0.236</v>
      </c>
    </row>
    <row r="44" customFormat="false" ht="15" hidden="false" customHeight="false" outlineLevel="0" collapsed="false">
      <c r="A44" s="8" t="s">
        <v>63</v>
      </c>
      <c r="B44" s="8" t="s">
        <v>56</v>
      </c>
      <c r="C44" s="11" t="n">
        <v>394</v>
      </c>
      <c r="D44" s="11" t="n">
        <v>208</v>
      </c>
      <c r="E44" s="11" t="n">
        <v>186</v>
      </c>
      <c r="F44" s="31" t="n">
        <v>47.2</v>
      </c>
      <c r="G44" s="12" t="n">
        <v>0.72</v>
      </c>
      <c r="H44" s="34" t="n">
        <v>0.23</v>
      </c>
    </row>
    <row r="45" customFormat="false" ht="15" hidden="false" customHeight="false" outlineLevel="0" collapsed="false">
      <c r="A45" s="14" t="s">
        <v>64</v>
      </c>
      <c r="B45" s="14" t="s">
        <v>56</v>
      </c>
      <c r="C45" s="17" t="n">
        <v>111</v>
      </c>
      <c r="D45" s="17" t="n">
        <v>56</v>
      </c>
      <c r="E45" s="17" t="n">
        <v>55</v>
      </c>
      <c r="F45" s="33" t="n">
        <v>49.5</v>
      </c>
      <c r="G45" s="18" t="n">
        <v>0.68</v>
      </c>
      <c r="H45" s="35" t="n">
        <v>0.223</v>
      </c>
    </row>
    <row r="46" customFormat="false" ht="15" hidden="false" customHeight="false" outlineLevel="0" collapsed="false">
      <c r="A46" s="8" t="s">
        <v>65</v>
      </c>
      <c r="B46" s="8" t="s">
        <v>48</v>
      </c>
      <c r="C46" s="11" t="n">
        <v>1266</v>
      </c>
      <c r="D46" s="11" t="n">
        <v>672</v>
      </c>
      <c r="E46" s="11" t="n">
        <v>594</v>
      </c>
      <c r="F46" s="31" t="n">
        <v>46.9</v>
      </c>
      <c r="G46" s="12" t="n">
        <v>0.68</v>
      </c>
      <c r="H46" s="34" t="n">
        <v>0.219</v>
      </c>
    </row>
    <row r="47" customFormat="false" ht="15" hidden="false" customHeight="false" outlineLevel="0" collapsed="false">
      <c r="A47" s="14" t="s">
        <v>60</v>
      </c>
      <c r="B47" s="14" t="s">
        <v>56</v>
      </c>
      <c r="C47" s="17" t="n">
        <v>859</v>
      </c>
      <c r="D47" s="17" t="n">
        <v>432</v>
      </c>
      <c r="E47" s="17" t="n">
        <v>427</v>
      </c>
      <c r="F47" s="33" t="n">
        <v>49.7</v>
      </c>
      <c r="G47" s="18" t="n">
        <v>0.62</v>
      </c>
      <c r="H47" s="35" t="n">
        <v>0.204</v>
      </c>
    </row>
    <row r="48" customFormat="false" ht="15" hidden="false" customHeight="false" outlineLevel="0" collapsed="false">
      <c r="A48" s="8" t="s">
        <v>62</v>
      </c>
      <c r="B48" s="8" t="s">
        <v>56</v>
      </c>
      <c r="C48" s="11" t="n">
        <v>187</v>
      </c>
      <c r="D48" s="11" t="n">
        <v>107</v>
      </c>
      <c r="E48" s="11" t="n">
        <v>80</v>
      </c>
      <c r="F48" s="31" t="n">
        <v>42.8</v>
      </c>
      <c r="G48" s="12" t="n">
        <v>0.68</v>
      </c>
      <c r="H48" s="34" t="n">
        <v>0.163</v>
      </c>
    </row>
    <row r="49" customFormat="false" ht="15" hidden="false" customHeight="false" outlineLevel="0" collapsed="false">
      <c r="A49" s="14" t="s">
        <v>47</v>
      </c>
      <c r="B49" s="14" t="s">
        <v>56</v>
      </c>
      <c r="C49" s="17" t="n">
        <v>260</v>
      </c>
      <c r="D49" s="17" t="n">
        <v>157</v>
      </c>
      <c r="E49" s="17" t="n">
        <v>103</v>
      </c>
      <c r="F49" s="33" t="n">
        <v>39.6</v>
      </c>
      <c r="G49" s="18" t="n">
        <v>0.71</v>
      </c>
      <c r="H49" s="35" t="n">
        <v>0.152</v>
      </c>
    </row>
  </sheetData>
  <conditionalFormatting sqref="H2:H49">
    <cfRule type="colorScale" priority="2">
      <colorScale>
        <cfvo type="min" val="0"/>
        <cfvo type="max" val="0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7" min="4" style="0" width="10"/>
    <col collapsed="false" customWidth="true" hidden="false" outlineLevel="0" max="8" min="8" style="0" width="13"/>
    <col collapsed="false" customWidth="true" hidden="false" outlineLevel="0" max="9" min="9" style="0" width="17"/>
  </cols>
  <sheetData>
    <row r="1" customFormat="false" ht="15" hidden="false" customHeight="false" outlineLevel="0" collapsed="false">
      <c r="A1" s="36" t="s">
        <v>82</v>
      </c>
      <c r="B1" s="36" t="s">
        <v>38</v>
      </c>
      <c r="C1" s="36" t="s">
        <v>39</v>
      </c>
      <c r="D1" s="36" t="s">
        <v>76</v>
      </c>
      <c r="E1" s="36" t="s">
        <v>77</v>
      </c>
      <c r="F1" s="36" t="s">
        <v>78</v>
      </c>
      <c r="G1" s="36" t="s">
        <v>73</v>
      </c>
      <c r="H1" s="36" t="s">
        <v>79</v>
      </c>
      <c r="I1" s="36" t="s">
        <v>80</v>
      </c>
    </row>
    <row r="2" customFormat="false" ht="15" hidden="false" customHeight="false" outlineLevel="0" collapsed="false">
      <c r="A2" s="8" t="n">
        <v>1</v>
      </c>
      <c r="B2" s="8" t="s">
        <v>59</v>
      </c>
      <c r="C2" s="9" t="s">
        <v>57</v>
      </c>
      <c r="D2" s="11" t="n">
        <v>7454</v>
      </c>
      <c r="E2" s="11" t="n">
        <v>961</v>
      </c>
      <c r="F2" s="11" t="n">
        <v>6493</v>
      </c>
      <c r="G2" s="31" t="n">
        <v>87.1</v>
      </c>
      <c r="H2" s="12" t="n">
        <v>0.55</v>
      </c>
      <c r="I2" s="34" t="n">
        <v>0.625</v>
      </c>
    </row>
    <row r="3" customFormat="false" ht="15" hidden="false" customHeight="false" outlineLevel="0" collapsed="false">
      <c r="A3" s="14" t="n">
        <v>2</v>
      </c>
      <c r="B3" s="14" t="s">
        <v>59</v>
      </c>
      <c r="C3" s="15" t="s">
        <v>55</v>
      </c>
      <c r="D3" s="17" t="n">
        <v>16295</v>
      </c>
      <c r="E3" s="17" t="n">
        <v>6155</v>
      </c>
      <c r="F3" s="17" t="n">
        <v>10140</v>
      </c>
      <c r="G3" s="33" t="n">
        <v>62.2</v>
      </c>
      <c r="H3" s="18" t="n">
        <v>0.68</v>
      </c>
      <c r="I3" s="35" t="n">
        <v>0.622</v>
      </c>
    </row>
    <row r="4" customFormat="false" ht="15" hidden="false" customHeight="false" outlineLevel="0" collapsed="false">
      <c r="A4" s="8" t="n">
        <v>3</v>
      </c>
      <c r="B4" s="8" t="s">
        <v>59</v>
      </c>
      <c r="C4" s="9" t="s">
        <v>48</v>
      </c>
      <c r="D4" s="11" t="n">
        <v>19515</v>
      </c>
      <c r="E4" s="11" t="n">
        <v>9427</v>
      </c>
      <c r="F4" s="11" t="n">
        <v>10088</v>
      </c>
      <c r="G4" s="31" t="n">
        <v>51.7</v>
      </c>
      <c r="H4" s="12" t="n">
        <v>0.73</v>
      </c>
      <c r="I4" s="34" t="n">
        <v>0.609</v>
      </c>
    </row>
    <row r="5" customFormat="false" ht="15" hidden="false" customHeight="false" outlineLevel="0" collapsed="false">
      <c r="A5" s="14" t="n">
        <v>4</v>
      </c>
      <c r="B5" s="14" t="s">
        <v>59</v>
      </c>
      <c r="C5" s="15" t="s">
        <v>54</v>
      </c>
      <c r="D5" s="17" t="n">
        <v>12200</v>
      </c>
      <c r="E5" s="17" t="n">
        <v>2961</v>
      </c>
      <c r="F5" s="17" t="n">
        <v>9239</v>
      </c>
      <c r="G5" s="33" t="n">
        <v>75.7</v>
      </c>
      <c r="H5" s="18" t="n">
        <v>0.52</v>
      </c>
      <c r="I5" s="35" t="n">
        <v>0.584</v>
      </c>
    </row>
    <row r="6" customFormat="false" ht="15" hidden="false" customHeight="false" outlineLevel="0" collapsed="false">
      <c r="A6" s="8" t="n">
        <v>5</v>
      </c>
      <c r="B6" s="8" t="s">
        <v>59</v>
      </c>
      <c r="C6" s="9" t="s">
        <v>58</v>
      </c>
      <c r="D6" s="11" t="n">
        <v>18288</v>
      </c>
      <c r="E6" s="11" t="n">
        <v>9575</v>
      </c>
      <c r="F6" s="11" t="n">
        <v>8713</v>
      </c>
      <c r="G6" s="31" t="n">
        <v>47.6</v>
      </c>
      <c r="H6" s="12" t="n">
        <v>0.73</v>
      </c>
      <c r="I6" s="34" t="n">
        <v>0.55</v>
      </c>
    </row>
    <row r="7" customFormat="false" ht="15" hidden="false" customHeight="false" outlineLevel="0" collapsed="false">
      <c r="A7" s="14" t="n">
        <v>6</v>
      </c>
      <c r="B7" s="14" t="s">
        <v>59</v>
      </c>
      <c r="C7" s="15" t="s">
        <v>56</v>
      </c>
      <c r="D7" s="17" t="n">
        <v>20277</v>
      </c>
      <c r="E7" s="17" t="n">
        <v>10391</v>
      </c>
      <c r="F7" s="17" t="n">
        <v>9886</v>
      </c>
      <c r="G7" s="33" t="n">
        <v>48.8</v>
      </c>
      <c r="H7" s="18" t="n">
        <v>0.64</v>
      </c>
      <c r="I7" s="35" t="n">
        <v>0.544</v>
      </c>
    </row>
    <row r="8" customFormat="false" ht="15" hidden="false" customHeight="false" outlineLevel="0" collapsed="false">
      <c r="A8" s="8" t="n">
        <v>7</v>
      </c>
      <c r="B8" s="8" t="s">
        <v>65</v>
      </c>
      <c r="C8" s="9" t="s">
        <v>57</v>
      </c>
      <c r="D8" s="11" t="n">
        <v>560</v>
      </c>
      <c r="E8" s="11" t="n">
        <v>66</v>
      </c>
      <c r="F8" s="11" t="n">
        <v>494</v>
      </c>
      <c r="G8" s="31" t="n">
        <v>88.2</v>
      </c>
      <c r="H8" s="12" t="n">
        <v>0.54</v>
      </c>
      <c r="I8" s="34" t="n">
        <v>0.51</v>
      </c>
    </row>
    <row r="9" customFormat="false" ht="15" hidden="false" customHeight="false" outlineLevel="0" collapsed="false">
      <c r="A9" s="14" t="n">
        <v>8</v>
      </c>
      <c r="B9" s="14" t="s">
        <v>63</v>
      </c>
      <c r="C9" s="15" t="s">
        <v>57</v>
      </c>
      <c r="D9" s="17" t="n">
        <v>212</v>
      </c>
      <c r="E9" s="17" t="n">
        <v>39</v>
      </c>
      <c r="F9" s="17" t="n">
        <v>173</v>
      </c>
      <c r="G9" s="33" t="n">
        <v>81.6</v>
      </c>
      <c r="H9" s="18" t="n">
        <v>0.55</v>
      </c>
      <c r="I9" s="35" t="n">
        <v>0.448</v>
      </c>
    </row>
    <row r="10" customFormat="false" ht="15" hidden="false" customHeight="false" outlineLevel="0" collapsed="false">
      <c r="A10" s="8" t="n">
        <v>9</v>
      </c>
      <c r="B10" s="8" t="s">
        <v>61</v>
      </c>
      <c r="C10" s="9" t="s">
        <v>57</v>
      </c>
      <c r="D10" s="11" t="n">
        <v>513</v>
      </c>
      <c r="E10" s="11" t="n">
        <v>79</v>
      </c>
      <c r="F10" s="11" t="n">
        <v>434</v>
      </c>
      <c r="G10" s="31" t="n">
        <v>84.6</v>
      </c>
      <c r="H10" s="12" t="n">
        <v>0.48</v>
      </c>
      <c r="I10" s="34" t="n">
        <v>0.441</v>
      </c>
    </row>
    <row r="11" customFormat="false" ht="15" hidden="false" customHeight="false" outlineLevel="0" collapsed="false">
      <c r="A11" s="14" t="n">
        <v>10</v>
      </c>
      <c r="B11" s="14" t="s">
        <v>64</v>
      </c>
      <c r="C11" s="15" t="s">
        <v>57</v>
      </c>
      <c r="D11" s="17" t="n">
        <v>94</v>
      </c>
      <c r="E11" s="17" t="n">
        <v>18</v>
      </c>
      <c r="F11" s="17" t="n">
        <v>76</v>
      </c>
      <c r="G11" s="33" t="n">
        <v>80.9</v>
      </c>
      <c r="H11" s="18" t="n">
        <v>0.55</v>
      </c>
      <c r="I11" s="35" t="n">
        <v>0.44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6" t="s">
        <v>40</v>
      </c>
      <c r="B1" s="6" t="s">
        <v>70</v>
      </c>
      <c r="C1" s="6" t="s">
        <v>71</v>
      </c>
      <c r="D1" s="6" t="s">
        <v>72</v>
      </c>
      <c r="E1" s="6" t="s">
        <v>73</v>
      </c>
    </row>
    <row r="2" customFormat="false" ht="15" hidden="false" customHeight="false" outlineLevel="0" collapsed="false">
      <c r="A2" s="8" t="s">
        <v>53</v>
      </c>
      <c r="B2" s="30" t="n">
        <v>37397</v>
      </c>
      <c r="C2" s="11" t="n">
        <v>16897</v>
      </c>
      <c r="D2" s="11" t="n">
        <v>20500</v>
      </c>
      <c r="E2" s="31" t="n">
        <v>54.8</v>
      </c>
    </row>
    <row r="3" customFormat="false" ht="15" hidden="false" customHeight="false" outlineLevel="0" collapsed="false">
      <c r="A3" s="14" t="s">
        <v>49</v>
      </c>
      <c r="B3" s="32" t="n">
        <v>19689</v>
      </c>
      <c r="C3" s="17" t="n">
        <v>5319</v>
      </c>
      <c r="D3" s="17" t="n">
        <v>14370</v>
      </c>
      <c r="E3" s="33" t="n">
        <v>73</v>
      </c>
    </row>
    <row r="4" customFormat="false" ht="15" hidden="false" customHeight="false" outlineLevel="0" collapsed="false">
      <c r="A4" s="8" t="s">
        <v>51</v>
      </c>
      <c r="B4" s="30" t="n">
        <v>23655</v>
      </c>
      <c r="C4" s="11" t="n">
        <v>11570</v>
      </c>
      <c r="D4" s="11" t="n">
        <v>12085</v>
      </c>
      <c r="E4" s="31" t="n">
        <v>51.1</v>
      </c>
    </row>
    <row r="5" customFormat="false" ht="15" hidden="false" customHeight="false" outlineLevel="0" collapsed="false">
      <c r="A5" s="14" t="s">
        <v>50</v>
      </c>
      <c r="B5" s="32" t="n">
        <v>17281</v>
      </c>
      <c r="C5" s="17" t="n">
        <v>6882</v>
      </c>
      <c r="D5" s="17" t="n">
        <v>10399</v>
      </c>
      <c r="E5" s="33" t="n">
        <v>60.2</v>
      </c>
    </row>
    <row r="6" customFormat="false" ht="15" hidden="false" customHeight="false" outlineLevel="0" collapsed="false">
      <c r="A6" s="8" t="s">
        <v>52</v>
      </c>
      <c r="B6" s="30" t="n">
        <v>17021</v>
      </c>
      <c r="C6" s="11" t="n">
        <v>7683</v>
      </c>
      <c r="D6" s="11" t="n">
        <v>9338</v>
      </c>
      <c r="E6" s="31" t="n">
        <v>54.9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0"/>
  </cols>
  <sheetData>
    <row r="2" customFormat="false" ht="19.7" hidden="false" customHeight="false" outlineLevel="0" collapsed="false">
      <c r="B2" s="37" t="s">
        <v>83</v>
      </c>
    </row>
    <row r="3" customFormat="false" ht="15" hidden="false" customHeight="false" outlineLevel="0" collapsed="false">
      <c r="B3" s="38" t="s">
        <v>84</v>
      </c>
    </row>
    <row r="5" customFormat="false" ht="15" hidden="false" customHeight="false" outlineLevel="0" collapsed="false">
      <c r="B5" s="39" t="s">
        <v>85</v>
      </c>
    </row>
    <row r="6" customFormat="false" ht="15" hidden="false" customHeight="false" outlineLevel="0" collapsed="false">
      <c r="B6" s="39" t="s">
        <v>86</v>
      </c>
    </row>
    <row r="7" customFormat="false" ht="15" hidden="false" customHeight="false" outlineLevel="0" collapsed="false">
      <c r="B7" s="39" t="s">
        <v>87</v>
      </c>
    </row>
    <row r="8" customFormat="false" ht="15" hidden="false" customHeight="false" outlineLevel="0" collapsed="false">
      <c r="B8" s="39" t="s">
        <v>88</v>
      </c>
    </row>
    <row r="9" customFormat="false" ht="15" hidden="false" customHeight="false" outlineLevel="0" collapsed="false">
      <c r="B9" s="39" t="s">
        <v>85</v>
      </c>
    </row>
    <row r="10" customFormat="false" ht="15" hidden="false" customHeight="false" outlineLevel="0" collapsed="false">
      <c r="B10" s="40"/>
    </row>
    <row r="11" customFormat="false" ht="15" hidden="false" customHeight="false" outlineLevel="0" collapsed="false">
      <c r="B11" s="39" t="s">
        <v>89</v>
      </c>
    </row>
    <row r="12" customFormat="false" ht="15" hidden="false" customHeight="false" outlineLevel="0" collapsed="false">
      <c r="B12" s="40" t="s">
        <v>90</v>
      </c>
    </row>
    <row r="13" customFormat="false" ht="15" hidden="false" customHeight="false" outlineLevel="0" collapsed="false">
      <c r="B13" s="40" t="s">
        <v>91</v>
      </c>
    </row>
    <row r="14" customFormat="false" ht="15" hidden="false" customHeight="false" outlineLevel="0" collapsed="false">
      <c r="B14" s="40" t="s">
        <v>92</v>
      </c>
    </row>
    <row r="15" customFormat="false" ht="15" hidden="false" customHeight="false" outlineLevel="0" collapsed="false">
      <c r="B15" s="40" t="s">
        <v>93</v>
      </c>
    </row>
    <row r="16" customFormat="false" ht="15" hidden="false" customHeight="false" outlineLevel="0" collapsed="false">
      <c r="B16" s="40" t="s">
        <v>94</v>
      </c>
    </row>
    <row r="17" customFormat="false" ht="15" hidden="false" customHeight="false" outlineLevel="0" collapsed="false">
      <c r="B17" s="40" t="s">
        <v>95</v>
      </c>
    </row>
    <row r="18" customFormat="false" ht="15" hidden="false" customHeight="false" outlineLevel="0" collapsed="false">
      <c r="B18" s="40" t="s">
        <v>96</v>
      </c>
    </row>
    <row r="19" customFormat="false" ht="15" hidden="false" customHeight="false" outlineLevel="0" collapsed="false">
      <c r="B19" s="40" t="s">
        <v>97</v>
      </c>
    </row>
    <row r="20" customFormat="false" ht="15" hidden="false" customHeight="false" outlineLevel="0" collapsed="false">
      <c r="B20" s="40" t="s">
        <v>98</v>
      </c>
    </row>
    <row r="21" customFormat="false" ht="15" hidden="false" customHeight="false" outlineLevel="0" collapsed="false">
      <c r="B21" s="40" t="s">
        <v>99</v>
      </c>
    </row>
    <row r="22" customFormat="false" ht="15" hidden="false" customHeight="false" outlineLevel="0" collapsed="false">
      <c r="B22" s="40" t="s">
        <v>100</v>
      </c>
    </row>
    <row r="23" customFormat="false" ht="15" hidden="false" customHeight="false" outlineLevel="0" collapsed="false">
      <c r="B23" s="40" t="s">
        <v>101</v>
      </c>
    </row>
    <row r="24" customFormat="false" ht="15" hidden="false" customHeight="false" outlineLevel="0" collapsed="false">
      <c r="B24" s="40" t="s">
        <v>102</v>
      </c>
    </row>
    <row r="25" customFormat="false" ht="15" hidden="false" customHeight="false" outlineLevel="0" collapsed="false">
      <c r="B25" s="40"/>
    </row>
    <row r="26" customFormat="false" ht="15" hidden="false" customHeight="false" outlineLevel="0" collapsed="false">
      <c r="B26" s="39" t="s">
        <v>103</v>
      </c>
    </row>
    <row r="27" customFormat="false" ht="15" hidden="false" customHeight="false" outlineLevel="0" collapsed="false">
      <c r="B27" s="40" t="s">
        <v>104</v>
      </c>
    </row>
    <row r="28" customFormat="false" ht="15" hidden="false" customHeight="false" outlineLevel="0" collapsed="false">
      <c r="B28" s="40" t="s">
        <v>105</v>
      </c>
    </row>
    <row r="29" customFormat="false" ht="15" hidden="false" customHeight="false" outlineLevel="0" collapsed="false">
      <c r="B29" s="40" t="s">
        <v>106</v>
      </c>
    </row>
    <row r="30" customFormat="false" ht="15" hidden="false" customHeight="false" outlineLevel="0" collapsed="false">
      <c r="B30" s="40" t="s">
        <v>107</v>
      </c>
    </row>
    <row r="31" customFormat="false" ht="15" hidden="false" customHeight="false" outlineLevel="0" collapsed="false">
      <c r="B31" s="40" t="s">
        <v>108</v>
      </c>
    </row>
    <row r="32" customFormat="false" ht="15" hidden="false" customHeight="false" outlineLevel="0" collapsed="false">
      <c r="B32" s="40" t="s">
        <v>109</v>
      </c>
    </row>
    <row r="33" customFormat="false" ht="15" hidden="false" customHeight="false" outlineLevel="0" collapsed="false">
      <c r="B33" s="40" t="s">
        <v>110</v>
      </c>
    </row>
    <row r="34" customFormat="false" ht="15" hidden="false" customHeight="false" outlineLevel="0" collapsed="false">
      <c r="B34" s="40" t="s">
        <v>111</v>
      </c>
    </row>
    <row r="35" customFormat="false" ht="15" hidden="false" customHeight="false" outlineLevel="0" collapsed="false">
      <c r="B35" s="40" t="s">
        <v>112</v>
      </c>
    </row>
    <row r="36" customFormat="false" ht="15" hidden="false" customHeight="false" outlineLevel="0" collapsed="false">
      <c r="B36" s="40" t="s">
        <v>113</v>
      </c>
    </row>
    <row r="37" customFormat="false" ht="15" hidden="false" customHeight="false" outlineLevel="0" collapsed="false">
      <c r="B37" s="40" t="s">
        <v>114</v>
      </c>
    </row>
    <row r="38" customFormat="false" ht="15" hidden="false" customHeight="false" outlineLevel="0" collapsed="false">
      <c r="B38" s="40" t="s">
        <v>115</v>
      </c>
    </row>
    <row r="39" customFormat="false" ht="15" hidden="false" customHeight="false" outlineLevel="0" collapsed="false">
      <c r="B39" s="40" t="s">
        <v>116</v>
      </c>
    </row>
    <row r="40" customFormat="false" ht="15" hidden="false" customHeight="false" outlineLevel="0" collapsed="false">
      <c r="B40" s="40"/>
    </row>
    <row r="41" customFormat="false" ht="15" hidden="false" customHeight="false" outlineLevel="0" collapsed="false">
      <c r="B41" s="39" t="s">
        <v>117</v>
      </c>
    </row>
    <row r="42" customFormat="false" ht="15" hidden="false" customHeight="false" outlineLevel="0" collapsed="false">
      <c r="B42" s="40" t="s">
        <v>118</v>
      </c>
    </row>
    <row r="43" customFormat="false" ht="15" hidden="false" customHeight="false" outlineLevel="0" collapsed="false">
      <c r="B43" s="40" t="s">
        <v>119</v>
      </c>
    </row>
    <row r="44" customFormat="false" ht="15" hidden="false" customHeight="false" outlineLevel="0" collapsed="false">
      <c r="B44" s="40" t="s">
        <v>106</v>
      </c>
    </row>
    <row r="45" customFormat="false" ht="15" hidden="false" customHeight="false" outlineLevel="0" collapsed="false">
      <c r="B45" s="40" t="s">
        <v>108</v>
      </c>
    </row>
    <row r="46" customFormat="false" ht="15" hidden="false" customHeight="false" outlineLevel="0" collapsed="false">
      <c r="B46" s="40" t="s">
        <v>120</v>
      </c>
    </row>
    <row r="47" customFormat="false" ht="15" hidden="false" customHeight="false" outlineLevel="0" collapsed="false">
      <c r="B47" s="40" t="s">
        <v>121</v>
      </c>
    </row>
    <row r="48" customFormat="false" ht="15" hidden="false" customHeight="false" outlineLevel="0" collapsed="false">
      <c r="B48" s="40" t="s">
        <v>122</v>
      </c>
    </row>
    <row r="49" customFormat="false" ht="15" hidden="false" customHeight="false" outlineLevel="0" collapsed="false">
      <c r="B49" s="40" t="s">
        <v>123</v>
      </c>
    </row>
    <row r="50" customFormat="false" ht="15" hidden="false" customHeight="false" outlineLevel="0" collapsed="false">
      <c r="B50" s="40" t="s">
        <v>124</v>
      </c>
    </row>
    <row r="51" customFormat="false" ht="15" hidden="false" customHeight="false" outlineLevel="0" collapsed="false">
      <c r="B51" s="40" t="s">
        <v>125</v>
      </c>
    </row>
    <row r="52" customFormat="false" ht="15" hidden="false" customHeight="false" outlineLevel="0" collapsed="false">
      <c r="B52" s="40" t="s">
        <v>126</v>
      </c>
    </row>
    <row r="53" customFormat="false" ht="15" hidden="false" customHeight="false" outlineLevel="0" collapsed="false">
      <c r="B53" s="40" t="s">
        <v>127</v>
      </c>
    </row>
    <row r="54" customFormat="false" ht="15" hidden="false" customHeight="false" outlineLevel="0" collapsed="false">
      <c r="B54" s="40" t="s">
        <v>128</v>
      </c>
    </row>
    <row r="55" customFormat="false" ht="15" hidden="false" customHeight="false" outlineLevel="0" collapsed="false">
      <c r="B55" s="40"/>
    </row>
    <row r="56" customFormat="false" ht="15" hidden="false" customHeight="false" outlineLevel="0" collapsed="false">
      <c r="B56" s="39" t="s">
        <v>129</v>
      </c>
    </row>
    <row r="57" customFormat="false" ht="15" hidden="false" customHeight="false" outlineLevel="0" collapsed="false">
      <c r="B57" s="40" t="s">
        <v>130</v>
      </c>
    </row>
    <row r="58" customFormat="false" ht="15" hidden="false" customHeight="false" outlineLevel="0" collapsed="false">
      <c r="B58" s="40" t="s">
        <v>131</v>
      </c>
    </row>
    <row r="59" customFormat="false" ht="15" hidden="false" customHeight="false" outlineLevel="0" collapsed="false">
      <c r="B59" s="40" t="s">
        <v>106</v>
      </c>
    </row>
    <row r="60" customFormat="false" ht="15" hidden="false" customHeight="false" outlineLevel="0" collapsed="false">
      <c r="B60" s="40" t="s">
        <v>107</v>
      </c>
    </row>
    <row r="61" customFormat="false" ht="15" hidden="false" customHeight="false" outlineLevel="0" collapsed="false">
      <c r="B61" s="40" t="s">
        <v>120</v>
      </c>
    </row>
    <row r="62" customFormat="false" ht="15" hidden="false" customHeight="false" outlineLevel="0" collapsed="false">
      <c r="B62" s="40" t="s">
        <v>121</v>
      </c>
    </row>
    <row r="63" customFormat="false" ht="15" hidden="false" customHeight="false" outlineLevel="0" collapsed="false">
      <c r="B63" s="40" t="s">
        <v>122</v>
      </c>
    </row>
    <row r="64" customFormat="false" ht="15" hidden="false" customHeight="false" outlineLevel="0" collapsed="false">
      <c r="B64" s="40" t="s">
        <v>132</v>
      </c>
    </row>
    <row r="65" customFormat="false" ht="15" hidden="false" customHeight="false" outlineLevel="0" collapsed="false">
      <c r="B65" s="40" t="s">
        <v>126</v>
      </c>
    </row>
    <row r="66" customFormat="false" ht="15" hidden="false" customHeight="false" outlineLevel="0" collapsed="false">
      <c r="B66" s="40" t="s">
        <v>133</v>
      </c>
    </row>
    <row r="67" customFormat="false" ht="15" hidden="false" customHeight="false" outlineLevel="0" collapsed="false">
      <c r="B67" s="40" t="s">
        <v>128</v>
      </c>
    </row>
    <row r="68" customFormat="false" ht="15" hidden="false" customHeight="false" outlineLevel="0" collapsed="false">
      <c r="B68" s="40"/>
    </row>
    <row r="69" customFormat="false" ht="15" hidden="false" customHeight="false" outlineLevel="0" collapsed="false">
      <c r="B69" s="39" t="s">
        <v>134</v>
      </c>
    </row>
    <row r="70" customFormat="false" ht="15" hidden="false" customHeight="false" outlineLevel="0" collapsed="false">
      <c r="B70" s="40" t="s">
        <v>135</v>
      </c>
    </row>
    <row r="71" customFormat="false" ht="15" hidden="false" customHeight="false" outlineLevel="0" collapsed="false">
      <c r="B71" s="40" t="s">
        <v>136</v>
      </c>
    </row>
    <row r="72" customFormat="false" ht="15" hidden="false" customHeight="false" outlineLevel="0" collapsed="false">
      <c r="B72" s="40" t="s">
        <v>106</v>
      </c>
    </row>
    <row r="73" customFormat="false" ht="15" hidden="false" customHeight="false" outlineLevel="0" collapsed="false">
      <c r="B73" s="40" t="s">
        <v>107</v>
      </c>
    </row>
    <row r="74" customFormat="false" ht="15" hidden="false" customHeight="false" outlineLevel="0" collapsed="false">
      <c r="B74" s="40" t="s">
        <v>108</v>
      </c>
    </row>
    <row r="75" customFormat="false" ht="15" hidden="false" customHeight="false" outlineLevel="0" collapsed="false">
      <c r="B75" s="40" t="s">
        <v>120</v>
      </c>
    </row>
    <row r="76" customFormat="false" ht="15" hidden="false" customHeight="false" outlineLevel="0" collapsed="false">
      <c r="B76" s="40" t="s">
        <v>121</v>
      </c>
    </row>
    <row r="77" customFormat="false" ht="15" hidden="false" customHeight="false" outlineLevel="0" collapsed="false">
      <c r="B77" s="40" t="s">
        <v>122</v>
      </c>
    </row>
    <row r="78" customFormat="false" ht="15" hidden="false" customHeight="false" outlineLevel="0" collapsed="false">
      <c r="B78" s="40" t="s">
        <v>123</v>
      </c>
    </row>
    <row r="79" customFormat="false" ht="15" hidden="false" customHeight="false" outlineLevel="0" collapsed="false">
      <c r="B79" s="40" t="s">
        <v>137</v>
      </c>
    </row>
    <row r="80" customFormat="false" ht="15" hidden="false" customHeight="false" outlineLevel="0" collapsed="false">
      <c r="B80" s="40" t="s">
        <v>126</v>
      </c>
    </row>
    <row r="81" customFormat="false" ht="15" hidden="false" customHeight="false" outlineLevel="0" collapsed="false">
      <c r="B81" s="40" t="s">
        <v>138</v>
      </c>
    </row>
    <row r="82" customFormat="false" ht="15" hidden="false" customHeight="false" outlineLevel="0" collapsed="false">
      <c r="B82" s="40"/>
    </row>
    <row r="83" customFormat="false" ht="15" hidden="false" customHeight="false" outlineLevel="0" collapsed="false">
      <c r="B83" s="39" t="s">
        <v>139</v>
      </c>
    </row>
    <row r="84" customFormat="false" ht="15" hidden="false" customHeight="false" outlineLevel="0" collapsed="false">
      <c r="B84" s="39" t="s">
        <v>140</v>
      </c>
    </row>
    <row r="85" customFormat="false" ht="15" hidden="false" customHeight="false" outlineLevel="0" collapsed="false">
      <c r="B85" s="39" t="s">
        <v>141</v>
      </c>
    </row>
    <row r="86" customFormat="false" ht="15" hidden="false" customHeight="false" outlineLevel="0" collapsed="false">
      <c r="B86" s="40" t="s">
        <v>142</v>
      </c>
    </row>
    <row r="87" customFormat="false" ht="15" hidden="false" customHeight="false" outlineLevel="0" collapsed="false">
      <c r="B87" s="40" t="s">
        <v>143</v>
      </c>
    </row>
    <row r="88" customFormat="false" ht="15" hidden="false" customHeight="false" outlineLevel="0" collapsed="false">
      <c r="B88" s="40" t="s">
        <v>144</v>
      </c>
    </row>
    <row r="89" customFormat="false" ht="15" hidden="false" customHeight="false" outlineLevel="0" collapsed="false">
      <c r="B89" s="40" t="s">
        <v>145</v>
      </c>
    </row>
    <row r="90" customFormat="false" ht="15" hidden="false" customHeight="false" outlineLevel="0" collapsed="false">
      <c r="B90" s="40" t="s">
        <v>146</v>
      </c>
    </row>
    <row r="91" customFormat="false" ht="15" hidden="false" customHeight="false" outlineLevel="0" collapsed="false">
      <c r="B91" s="40" t="s">
        <v>147</v>
      </c>
    </row>
    <row r="92" customFormat="false" ht="15" hidden="false" customHeight="false" outlineLevel="0" collapsed="false">
      <c r="B92" s="40" t="s">
        <v>148</v>
      </c>
    </row>
    <row r="93" customFormat="false" ht="15" hidden="false" customHeight="false" outlineLevel="0" collapsed="false">
      <c r="B93" s="40" t="s">
        <v>149</v>
      </c>
    </row>
    <row r="94" customFormat="false" ht="15" hidden="false" customHeight="false" outlineLevel="0" collapsed="false">
      <c r="B94" s="40" t="s">
        <v>150</v>
      </c>
    </row>
    <row r="95" customFormat="false" ht="15" hidden="false" customHeight="false" outlineLevel="0" collapsed="false">
      <c r="B95" s="40" t="s">
        <v>106</v>
      </c>
    </row>
    <row r="96" customFormat="false" ht="15" hidden="false" customHeight="false" outlineLevel="0" collapsed="false">
      <c r="B96" s="40" t="s">
        <v>151</v>
      </c>
    </row>
    <row r="97" customFormat="false" ht="15" hidden="false" customHeight="false" outlineLevel="0" collapsed="false">
      <c r="B97" s="40" t="s">
        <v>152</v>
      </c>
    </row>
    <row r="98" customFormat="false" ht="15" hidden="false" customHeight="false" outlineLevel="0" collapsed="false">
      <c r="B98" s="40" t="s">
        <v>153</v>
      </c>
    </row>
    <row r="99" customFormat="false" ht="15" hidden="false" customHeight="false" outlineLevel="0" collapsed="false">
      <c r="B99" s="40" t="s">
        <v>154</v>
      </c>
    </row>
    <row r="100" customFormat="false" ht="15" hidden="false" customHeight="false" outlineLevel="0" collapsed="false">
      <c r="B100" s="40" t="s">
        <v>155</v>
      </c>
    </row>
    <row r="101" customFormat="false" ht="15" hidden="false" customHeight="false" outlineLevel="0" collapsed="false">
      <c r="B101" s="40" t="s">
        <v>156</v>
      </c>
    </row>
    <row r="102" customFormat="false" ht="15" hidden="false" customHeight="false" outlineLevel="0" collapsed="false">
      <c r="B102" s="40" t="s">
        <v>157</v>
      </c>
    </row>
    <row r="103" customFormat="false" ht="15" hidden="false" customHeight="false" outlineLevel="0" collapsed="false">
      <c r="B103" s="40" t="s">
        <v>158</v>
      </c>
    </row>
    <row r="104" customFormat="false" ht="15" hidden="false" customHeight="false" outlineLevel="0" collapsed="false">
      <c r="B104" s="40" t="s">
        <v>159</v>
      </c>
    </row>
    <row r="105" customFormat="false" ht="15" hidden="false" customHeight="false" outlineLevel="0" collapsed="false">
      <c r="B105" s="40" t="s">
        <v>160</v>
      </c>
    </row>
    <row r="106" customFormat="false" ht="15" hidden="false" customHeight="false" outlineLevel="0" collapsed="false">
      <c r="B106" s="40" t="s">
        <v>161</v>
      </c>
    </row>
    <row r="107" customFormat="false" ht="15" hidden="false" customHeight="false" outlineLevel="0" collapsed="false">
      <c r="B107" s="40" t="s">
        <v>162</v>
      </c>
    </row>
    <row r="108" customFormat="false" ht="15" hidden="false" customHeight="false" outlineLevel="0" collapsed="false">
      <c r="B108" s="40" t="s">
        <v>163</v>
      </c>
    </row>
    <row r="109" customFormat="false" ht="15" hidden="false" customHeight="false" outlineLevel="0" collapsed="false">
      <c r="B109" s="40" t="s">
        <v>164</v>
      </c>
    </row>
    <row r="110" customFormat="false" ht="15" hidden="false" customHeight="false" outlineLevel="0" collapsed="false">
      <c r="B110" s="40"/>
    </row>
    <row r="111" customFormat="false" ht="15" hidden="false" customHeight="false" outlineLevel="0" collapsed="false">
      <c r="B111" s="39" t="s">
        <v>165</v>
      </c>
    </row>
    <row r="112" customFormat="false" ht="15" hidden="false" customHeight="false" outlineLevel="0" collapsed="false">
      <c r="B112" s="40" t="s">
        <v>166</v>
      </c>
    </row>
    <row r="113" customFormat="false" ht="15" hidden="false" customHeight="false" outlineLevel="0" collapsed="false">
      <c r="B113" s="40" t="s">
        <v>167</v>
      </c>
    </row>
    <row r="114" customFormat="false" ht="15" hidden="false" customHeight="false" outlineLevel="0" collapsed="false">
      <c r="B114" s="40" t="s">
        <v>168</v>
      </c>
    </row>
    <row r="115" customFormat="false" ht="15" hidden="false" customHeight="false" outlineLevel="0" collapsed="false">
      <c r="B115" s="40" t="s">
        <v>169</v>
      </c>
    </row>
    <row r="116" customFormat="false" ht="15" hidden="false" customHeight="false" outlineLevel="0" collapsed="false">
      <c r="B116" s="40" t="s">
        <v>170</v>
      </c>
    </row>
    <row r="117" customFormat="false" ht="15" hidden="false" customHeight="false" outlineLevel="0" collapsed="false">
      <c r="B117" s="40" t="s">
        <v>171</v>
      </c>
    </row>
    <row r="118" customFormat="false" ht="15" hidden="false" customHeight="false" outlineLevel="0" collapsed="false">
      <c r="B118" s="40"/>
    </row>
    <row r="119" customFormat="false" ht="15" hidden="false" customHeight="false" outlineLevel="0" collapsed="false">
      <c r="B119" s="39" t="s">
        <v>172</v>
      </c>
    </row>
    <row r="120" customFormat="false" ht="15" hidden="false" customHeight="false" outlineLevel="0" collapsed="false">
      <c r="B120" s="40" t="s">
        <v>173</v>
      </c>
    </row>
    <row r="121" customFormat="false" ht="15" hidden="false" customHeight="false" outlineLevel="0" collapsed="false">
      <c r="B121" s="40" t="s">
        <v>174</v>
      </c>
    </row>
    <row r="122" customFormat="false" ht="15" hidden="false" customHeight="false" outlineLevel="0" collapsed="false">
      <c r="B122" s="40" t="s">
        <v>106</v>
      </c>
    </row>
    <row r="123" customFormat="false" ht="15" hidden="false" customHeight="false" outlineLevel="0" collapsed="false">
      <c r="B123" s="40" t="s">
        <v>109</v>
      </c>
    </row>
    <row r="124" customFormat="false" ht="15" hidden="false" customHeight="false" outlineLevel="0" collapsed="false">
      <c r="B124" s="40" t="s">
        <v>120</v>
      </c>
    </row>
    <row r="125" customFormat="false" ht="15" hidden="false" customHeight="false" outlineLevel="0" collapsed="false">
      <c r="B125" s="40" t="s">
        <v>121</v>
      </c>
    </row>
    <row r="126" customFormat="false" ht="15" hidden="false" customHeight="false" outlineLevel="0" collapsed="false">
      <c r="B126" s="40" t="s">
        <v>122</v>
      </c>
    </row>
    <row r="127" customFormat="false" ht="15" hidden="false" customHeight="false" outlineLevel="0" collapsed="false">
      <c r="B127" s="40" t="s">
        <v>132</v>
      </c>
    </row>
    <row r="128" customFormat="false" ht="15" hidden="false" customHeight="false" outlineLevel="0" collapsed="false">
      <c r="B128" s="40" t="s">
        <v>126</v>
      </c>
    </row>
    <row r="129" customFormat="false" ht="15" hidden="false" customHeight="false" outlineLevel="0" collapsed="false">
      <c r="B129" s="40" t="s">
        <v>175</v>
      </c>
    </row>
    <row r="130" customFormat="false" ht="15" hidden="false" customHeight="false" outlineLevel="0" collapsed="false">
      <c r="B130" s="40" t="s">
        <v>128</v>
      </c>
    </row>
    <row r="131" customFormat="false" ht="15" hidden="false" customHeight="false" outlineLevel="0" collapsed="false">
      <c r="B131" s="4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2026-09-03T18:08:30Z</dcterms:created>
  <dc:creator>openpyxl</dc:creator>
  <dc:description/>
  <dc:language>en-US</dc:language>
  <cp:lastModifiedBy/>
  <dcterms:modified xsi:type="dcterms:W3CDTF">2026-09-03T18:08:36Z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